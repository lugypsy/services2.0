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Data" sheetId="2" state="hidden" r:id="rId2"/>
    <sheet xmlns:r="http://schemas.openxmlformats.org/officeDocument/2006/relationships" name="Lists" sheetId="3" state="hidden" r:id="rId3"/>
  </sheets>
  <definedNames>
    <definedName name="ServicesList">Lists!$A$2:$A$11</definedName>
    <definedName name="UtilitiesList">Lists!$B$2:$B$42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0B3A42"/>
      <sz val="12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555555"/>
      <sz val="11"/>
    </font>
  </fonts>
  <fills count="6">
    <fill>
      <patternFill/>
    </fill>
    <fill>
      <patternFill patternType="gray125"/>
    </fill>
    <fill>
      <patternFill patternType="solid">
        <fgColor rgb="FF1F6D7A"/>
      </patternFill>
    </fill>
    <fill>
      <patternFill patternType="solid">
        <fgColor rgb="FFFFF2CC"/>
      </patternFill>
    </fill>
    <fill>
      <patternFill patternType="solid">
        <fgColor rgb="FFE8F4F7"/>
      </patternFill>
    </fill>
    <fill>
      <patternFill patternType="solid">
        <fgColor rgb="FFB7DEE8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right" vertic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tabSelected="1" workbookViewId="0">
      <pane ySplit="2" topLeftCell="A3" activePane="bottomLeft" state="frozen"/>
      <selection pane="bottomLeft" activeCell="M15" sqref="M15"/>
    </sheetView>
  </sheetViews>
  <sheetFormatPr baseColWidth="8" defaultRowHeight="14.4"/>
  <cols>
    <col width="20" customWidth="1" style="11" min="1" max="1"/>
    <col width="27.44140625" bestFit="1" customWidth="1" style="11" min="2" max="2"/>
    <col width="18" customWidth="1" style="11" min="3" max="3"/>
    <col width="22" customWidth="1" style="11" min="4" max="4"/>
    <col width="12" customWidth="1" style="11" min="5" max="5"/>
    <col width="0.33203125" customWidth="1" style="11" min="6" max="6"/>
    <col width="15.33203125" bestFit="1" customWidth="1" style="11" min="7" max="7"/>
    <col width="14" customWidth="1" style="11" min="8" max="8"/>
    <col width="21.6640625" customWidth="1" style="11" min="9" max="9"/>
  </cols>
  <sheetData>
    <row r="1" ht="15.6" customHeight="1" s="11">
      <c r="A1" s="10" t="inlineStr">
        <is>
          <t>Inputs</t>
        </is>
      </c>
    </row>
    <row r="2">
      <c r="A2" s="12" t="inlineStr">
        <is>
          <t>Home Type</t>
        </is>
      </c>
      <c r="B2" s="12" t="inlineStr">
        <is>
          <t>Count</t>
        </is>
      </c>
      <c r="C2" s="12" t="inlineStr">
        <is>
          <t>Demand per Home</t>
        </is>
      </c>
      <c r="D2" s="12" t="inlineStr">
        <is>
          <t>Demand Contribution</t>
        </is>
      </c>
      <c r="F2" s="12" t="inlineStr">
        <is>
          <t>Total Homes</t>
        </is>
      </c>
      <c r="G2" s="13" t="n"/>
      <c r="H2" s="2">
        <f>SUM(B3:B9)</f>
        <v/>
      </c>
    </row>
    <row r="3">
      <c r="A3" s="3" t="inlineStr">
        <is>
          <t>Regular RZ</t>
        </is>
      </c>
      <c r="B3" s="4" t="n">
        <v>0</v>
      </c>
      <c r="C3" s="5" t="n">
        <v>35</v>
      </c>
      <c r="D3" s="5">
        <f>B3*C3</f>
        <v/>
      </c>
    </row>
    <row r="4">
      <c r="A4" s="3" t="inlineStr">
        <is>
          <t>4-tier Homes (Kyoto/Florentine/Art Nouveau/Latin American)</t>
        </is>
      </c>
      <c r="B4" s="4" t="n">
        <v>0</v>
      </c>
      <c r="C4" s="5" t="n">
        <v>30</v>
      </c>
      <c r="D4" s="5">
        <f>B4*C4</f>
        <v/>
      </c>
    </row>
    <row r="5">
      <c r="A5" s="3" t="inlineStr">
        <is>
          <t>Airport-Related (Paris/London/Tokyo)</t>
        </is>
      </c>
      <c r="B5" s="4" t="n">
        <v>0</v>
      </c>
      <c r="C5" s="5" t="n">
        <v>40</v>
      </c>
      <c r="D5" s="5">
        <f>B5*C5</f>
        <v/>
      </c>
    </row>
    <row r="6">
      <c r="A6" s="3" t="inlineStr">
        <is>
          <t>Old Town House</t>
        </is>
      </c>
      <c r="B6" s="4" t="n">
        <v>0</v>
      </c>
      <c r="C6" s="5" t="n">
        <v>2</v>
      </c>
      <c r="D6" s="5">
        <f>B6*C6</f>
        <v/>
      </c>
    </row>
    <row r="7">
      <c r="A7" s="3" t="inlineStr">
        <is>
          <t>Epic Buildings</t>
        </is>
      </c>
      <c r="B7" s="4" t="n">
        <v>0</v>
      </c>
      <c r="C7" s="5" t="n">
        <v>45</v>
      </c>
      <c r="D7" s="5">
        <f>B7*C7</f>
        <v/>
      </c>
    </row>
    <row r="8">
      <c r="A8" s="3" t="inlineStr">
        <is>
          <t>Regional Buildings</t>
        </is>
      </c>
      <c r="B8" s="4" t="n">
        <v>0</v>
      </c>
      <c r="C8" s="5" t="n">
        <v>45</v>
      </c>
      <c r="D8" s="5">
        <f>B8*C8</f>
        <v/>
      </c>
    </row>
    <row r="9">
      <c r="A9" s="3" t="inlineStr">
        <is>
          <t>Omega Buildings</t>
        </is>
      </c>
      <c r="B9" s="4" t="n">
        <v>0</v>
      </c>
      <c r="C9" s="5" t="n">
        <v>50</v>
      </c>
      <c r="D9" s="5">
        <f>B9*C9</f>
        <v/>
      </c>
    </row>
    <row r="11">
      <c r="A11" s="15" t="inlineStr">
        <is>
          <t>TOTAL DEMAND (per service)</t>
        </is>
      </c>
      <c r="B11" s="16" t="n"/>
      <c r="C11" s="13" t="n"/>
      <c r="D11" s="2">
        <f>SUM(D3:D9)</f>
        <v/>
      </c>
    </row>
    <row r="14" ht="15.6" customHeight="1" s="11">
      <c r="A14" s="10" t="inlineStr">
        <is>
          <t>Utilities (Capacities) → Buildings Needed → TOTAL cost</t>
        </is>
      </c>
    </row>
    <row r="15">
      <c r="A15" s="12" t="inlineStr">
        <is>
          <t>Service</t>
        </is>
      </c>
      <c r="B15" s="12" t="inlineStr">
        <is>
          <t>Utility</t>
        </is>
      </c>
      <c r="C15" s="12" t="inlineStr">
        <is>
          <t>Max Level</t>
        </is>
      </c>
      <c r="D15" s="12" t="inlineStr">
        <is>
          <t>Services needed</t>
        </is>
      </c>
      <c r="E15" s="12" t="inlineStr">
        <is>
          <t>Chosen Level</t>
        </is>
      </c>
      <c r="F15" s="12" t="inlineStr">
        <is>
          <t>Key</t>
        </is>
      </c>
      <c r="G15" s="12" t="inlineStr">
        <is>
          <t>Capacity @ Level</t>
        </is>
      </c>
      <c r="H15" s="12" t="inlineStr">
        <is>
          <t>Spare Capacity</t>
        </is>
      </c>
      <c r="I15" s="12" t="inlineStr">
        <is>
          <t>Total cost @ Level</t>
        </is>
      </c>
    </row>
    <row r="16">
      <c r="A16" s="6" t="inlineStr">
        <is>
          <t>Power</t>
        </is>
      </c>
      <c r="B16" s="3" t="inlineStr">
        <is>
          <t>Wind Power Plant</t>
        </is>
      </c>
      <c r="C16" s="5" t="n">
        <v>3</v>
      </c>
      <c r="D16" s="5">
        <f>IF($G16="","",CEILING(D11/$G16,1))</f>
        <v/>
      </c>
      <c r="E16" s="4" t="n">
        <v>3</v>
      </c>
      <c r="F16" s="5">
        <f>$B16&amp;"|"&amp;MIN($E16,$C16)</f>
        <v/>
      </c>
      <c r="G16" s="5">
        <f>IFERROR(VLOOKUP($F16,Data!$A:$F,5,FALSE),"")</f>
        <v/>
      </c>
      <c r="H16" s="5">
        <f>IF($D16="","",($D16*$G16)-D11)</f>
        <v/>
      </c>
      <c r="I16" s="5">
        <f>IF($D16="","",$D16*IFERROR(VLOOKUP($F16,Data!$A:$F,6,FALSE),0))</f>
        <v/>
      </c>
    </row>
    <row r="17">
      <c r="A17" s="6" t="inlineStr">
        <is>
          <t>Power</t>
        </is>
      </c>
      <c r="B17" s="3" t="inlineStr">
        <is>
          <t>Coal Power Plant</t>
        </is>
      </c>
      <c r="C17" s="5" t="n">
        <v>3</v>
      </c>
      <c r="D17" s="5">
        <f>IF($G17="","",CEILING(D11/$G17,1))</f>
        <v/>
      </c>
      <c r="E17" s="4" t="n">
        <v>3</v>
      </c>
      <c r="F17" s="5">
        <f>$B17&amp;"|"&amp;MIN($E17,$C17)</f>
        <v/>
      </c>
      <c r="G17" s="5">
        <f>IFERROR(VLOOKUP($F17,Data!$A:$F,5,FALSE),"")</f>
        <v/>
      </c>
      <c r="H17" s="5">
        <f>IF($D17="","",($D17*$G17)-D11)</f>
        <v/>
      </c>
      <c r="I17" s="5">
        <f>IF($D17="","",$D17*IFERROR(VLOOKUP($F17,Data!$A:$F,6,FALSE),0))</f>
        <v/>
      </c>
    </row>
    <row r="18">
      <c r="A18" s="6" t="inlineStr">
        <is>
          <t>Power</t>
        </is>
      </c>
      <c r="B18" s="3" t="inlineStr">
        <is>
          <t>Deluxe Wind Power Plant</t>
        </is>
      </c>
      <c r="C18" s="5" t="n">
        <v>5</v>
      </c>
      <c r="D18" s="5">
        <f>IF($G18="","",CEILING(D11/$G18,1))</f>
        <v/>
      </c>
      <c r="E18" s="4" t="n">
        <v>5</v>
      </c>
      <c r="F18" s="5">
        <f>$B18&amp;"|"&amp;MIN($E18,$C18)</f>
        <v/>
      </c>
      <c r="G18" s="5">
        <f>IFERROR(VLOOKUP($F18,Data!$A:$F,5,FALSE),"")</f>
        <v/>
      </c>
      <c r="H18" s="5">
        <f>IF($D18="","",($D18*$G18)-D11)</f>
        <v/>
      </c>
      <c r="I18" s="5">
        <f>IF($D18="","",$D18*IFERROR(VLOOKUP($F18,Data!$A:$F,6,FALSE),0))</f>
        <v/>
      </c>
    </row>
    <row r="19">
      <c r="A19" s="6" t="inlineStr">
        <is>
          <t>Power</t>
        </is>
      </c>
      <c r="B19" s="3" t="inlineStr">
        <is>
          <t>Solar Power Plant</t>
        </is>
      </c>
      <c r="C19" s="5" t="n">
        <v>5</v>
      </c>
      <c r="D19" s="5">
        <f>IF($G19="","",CEILING(D11/$G19,1))</f>
        <v/>
      </c>
      <c r="E19" s="4" t="n">
        <v>5</v>
      </c>
      <c r="F19" s="5">
        <f>$B19&amp;"|"&amp;MIN($E19,$C19)</f>
        <v/>
      </c>
      <c r="G19" s="5">
        <f>IFERROR(VLOOKUP($F19,Data!$A:$F,5,FALSE),"")</f>
        <v/>
      </c>
      <c r="H19" s="5">
        <f>IF($D19="","",($D19*$G19)-D11)</f>
        <v/>
      </c>
      <c r="I19" s="5">
        <f>IF($D19="","",$D19*IFERROR(VLOOKUP($F19,Data!$A:$F,6,FALSE),0))</f>
        <v/>
      </c>
    </row>
    <row r="20">
      <c r="A20" s="6" t="inlineStr">
        <is>
          <t>Power</t>
        </is>
      </c>
      <c r="B20" s="3" t="inlineStr">
        <is>
          <t>Oil Power Plant</t>
        </is>
      </c>
      <c r="C20" s="5" t="n">
        <v>5</v>
      </c>
      <c r="D20" s="5">
        <f>IF($G20="","",CEILING(D11/$G20,1))</f>
        <v/>
      </c>
      <c r="E20" s="4" t="n">
        <v>5</v>
      </c>
      <c r="F20" s="5">
        <f>$B20&amp;"|"&amp;MIN($E20,$C20)</f>
        <v/>
      </c>
      <c r="G20" s="5">
        <f>IFERROR(VLOOKUP($F20,Data!$A:$F,5,FALSE),"")</f>
        <v/>
      </c>
      <c r="H20" s="5">
        <f>IF($D20="","",($D20*$G20)-D11)</f>
        <v/>
      </c>
      <c r="I20" s="5">
        <f>IF($D20="","",$D20*IFERROR(VLOOKUP($F20,Data!$A:$F,6,FALSE),0))</f>
        <v/>
      </c>
    </row>
    <row r="21">
      <c r="A21" s="6" t="inlineStr">
        <is>
          <t>Power</t>
        </is>
      </c>
      <c r="B21" s="3" t="inlineStr">
        <is>
          <t>Nuclear Power Plant</t>
        </is>
      </c>
      <c r="C21" s="5" t="n">
        <v>8</v>
      </c>
      <c r="D21" s="5">
        <f>IF($G21="","",CEILING(D11/$G21,1))</f>
        <v/>
      </c>
      <c r="E21" s="4" t="n">
        <v>8</v>
      </c>
      <c r="F21" s="5">
        <f>$B21&amp;"|"&amp;MIN($E21,$C21)</f>
        <v/>
      </c>
      <c r="G21" s="5">
        <f>IFERROR(VLOOKUP($F21,Data!$A:$F,5,FALSE),"")</f>
        <v/>
      </c>
      <c r="H21" s="5">
        <f>IF($D21="","",($D21*$G21)-D11)</f>
        <v/>
      </c>
      <c r="I21" s="5">
        <f>IF($D21="","",$D21*IFERROR(VLOOKUP($F21,Data!$A:$F,6,FALSE),0))</f>
        <v/>
      </c>
    </row>
    <row r="22">
      <c r="A22" s="6" t="inlineStr">
        <is>
          <t>Power</t>
        </is>
      </c>
      <c r="B22" s="3" t="inlineStr">
        <is>
          <t>Fusion Power Plant</t>
        </is>
      </c>
      <c r="C22" s="5" t="n">
        <v>10</v>
      </c>
      <c r="D22" s="5">
        <f>IF($G22="","",CEILING(D11/$G22,1))</f>
        <v/>
      </c>
      <c r="E22" s="4" t="n">
        <v>10</v>
      </c>
      <c r="F22" s="5">
        <f>$B22&amp;"|"&amp;MIN($E22,$C22)</f>
        <v/>
      </c>
      <c r="G22" s="5">
        <f>IFERROR(VLOOKUP($F22,Data!$A:$F,5,FALSE),"")</f>
        <v/>
      </c>
      <c r="H22" s="5">
        <f>IF($D22="","",($D22*$G22)-D11)</f>
        <v/>
      </c>
      <c r="I22" s="5">
        <f>IF($D22="","",$D22*IFERROR(VLOOKUP($F22,Data!$A:$F,6,FALSE),0))</f>
        <v/>
      </c>
    </row>
    <row r="23">
      <c r="A23" s="6" t="inlineStr">
        <is>
          <t>Power</t>
        </is>
      </c>
      <c r="B23" s="3" t="inlineStr">
        <is>
          <t>Omega Power Plant</t>
        </is>
      </c>
      <c r="C23" s="5" t="n">
        <v>10</v>
      </c>
      <c r="D23" s="5">
        <f>IF($G23="","",CEILING(D11/$G23,1))</f>
        <v/>
      </c>
      <c r="E23" s="4" t="n">
        <v>10</v>
      </c>
      <c r="F23" s="5">
        <f>$B23&amp;"|"&amp;MIN($E23,$C23)</f>
        <v/>
      </c>
      <c r="G23" s="5">
        <f>IFERROR(VLOOKUP($F23,Data!$A:$F,5,FALSE),"")</f>
        <v/>
      </c>
      <c r="H23" s="5">
        <f>IF($D23="","",($D23*$G23)-D11)</f>
        <v/>
      </c>
      <c r="I23" s="5">
        <f>IF($D23="","",$D23*IFERROR(VLOOKUP($F23,Data!$A:$F,6,FALSE),0))</f>
        <v/>
      </c>
    </row>
    <row r="24">
      <c r="A24" s="6" t="inlineStr">
        <is>
          <t>Water</t>
        </is>
      </c>
      <c r="B24" s="3" t="inlineStr">
        <is>
          <t>Basic Water Tower</t>
        </is>
      </c>
      <c r="C24" s="5" t="n">
        <v>3</v>
      </c>
      <c r="D24" s="5">
        <f>IF($G24="","",CEILING(D11/$G24,1))</f>
        <v/>
      </c>
      <c r="E24" s="4" t="n">
        <v>3</v>
      </c>
      <c r="F24" s="5">
        <f>$B24&amp;"|"&amp;MIN($E24,$C24)</f>
        <v/>
      </c>
      <c r="G24" s="5">
        <f>IFERROR(VLOOKUP($F24,Data!$A:$F,5,FALSE),"")</f>
        <v/>
      </c>
      <c r="H24" s="5">
        <f>IF($D24="","",($D24*$G24)-D11)</f>
        <v/>
      </c>
      <c r="I24" s="5">
        <f>IF($D24="","",$D24*IFERROR(VLOOKUP($F24,Data!$A:$F,6,FALSE),0))</f>
        <v/>
      </c>
    </row>
    <row r="25">
      <c r="A25" s="6" t="inlineStr">
        <is>
          <t>Water</t>
        </is>
      </c>
      <c r="B25" s="3" t="inlineStr">
        <is>
          <t>Water Pumping Station</t>
        </is>
      </c>
      <c r="C25" s="5" t="n">
        <v>5</v>
      </c>
      <c r="D25" s="5">
        <f>IF($G25="","",CEILING(D11/$G25,1))</f>
        <v/>
      </c>
      <c r="E25" s="4" t="n">
        <v>5</v>
      </c>
      <c r="F25" s="5">
        <f>$B25&amp;"|"&amp;MIN($E25,$C25)</f>
        <v/>
      </c>
      <c r="G25" s="5">
        <f>IFERROR(VLOOKUP($F25,Data!$A:$F,5,FALSE),"")</f>
        <v/>
      </c>
      <c r="H25" s="5">
        <f>IF($D25="","",($D25*$G25)-D11)</f>
        <v/>
      </c>
      <c r="I25" s="5">
        <f>IF($D25="","",$D25*IFERROR(VLOOKUP($F25,Data!$A:$F,6,FALSE),0))</f>
        <v/>
      </c>
    </row>
    <row r="26">
      <c r="A26" s="6" t="inlineStr">
        <is>
          <t>Water</t>
        </is>
      </c>
      <c r="B26" s="3" t="inlineStr">
        <is>
          <t>Saltwater Treatment Plant</t>
        </is>
      </c>
      <c r="C26" s="5" t="n">
        <v>8</v>
      </c>
      <c r="D26" s="5">
        <f>IF($G26="","",CEILING(D11/$G26,1))</f>
        <v/>
      </c>
      <c r="E26" s="4" t="n">
        <v>8</v>
      </c>
      <c r="F26" s="5">
        <f>$B26&amp;"|"&amp;MIN($E26,$C26)</f>
        <v/>
      </c>
      <c r="G26" s="5">
        <f>IFERROR(VLOOKUP($F26,Data!$A:$F,5,FALSE),"")</f>
        <v/>
      </c>
      <c r="H26" s="5">
        <f>IF($D26="","",($D26*$G26)-D11)</f>
        <v/>
      </c>
      <c r="I26" s="5">
        <f>IF($D26="","",$D26*IFERROR(VLOOKUP($F26,Data!$A:$F,6,FALSE),0))</f>
        <v/>
      </c>
    </row>
    <row r="27">
      <c r="A27" s="6" t="inlineStr">
        <is>
          <t>Water</t>
        </is>
      </c>
      <c r="B27" s="3" t="inlineStr">
        <is>
          <t>Fresh Water Pumping Station</t>
        </is>
      </c>
      <c r="C27" s="5" t="n">
        <v>10</v>
      </c>
      <c r="D27" s="5">
        <f>IF($G27="","",CEILING(D11/$G27,1))</f>
        <v/>
      </c>
      <c r="E27" s="4" t="n">
        <v>10</v>
      </c>
      <c r="F27" s="5">
        <f>$B27&amp;"|"&amp;MIN($E27,$C27)</f>
        <v/>
      </c>
      <c r="G27" s="5">
        <f>IFERROR(VLOOKUP($F27,Data!$A:$F,5,FALSE),"")</f>
        <v/>
      </c>
      <c r="H27" s="5">
        <f>IF($D27="","",($D27*$G27)-D11)</f>
        <v/>
      </c>
      <c r="I27" s="5">
        <f>IF($D27="","",$D27*IFERROR(VLOOKUP($F27,Data!$A:$F,6,FALSE),0))</f>
        <v/>
      </c>
    </row>
    <row r="28">
      <c r="A28" s="6" t="inlineStr">
        <is>
          <t>Water</t>
        </is>
      </c>
      <c r="B28" s="3" t="inlineStr">
        <is>
          <t>Omega Water Tower</t>
        </is>
      </c>
      <c r="C28" s="5" t="n">
        <v>10</v>
      </c>
      <c r="D28" s="5">
        <f>IF($G28="","",CEILING(D11/$G28,1))</f>
        <v/>
      </c>
      <c r="E28" s="4" t="n">
        <v>10</v>
      </c>
      <c r="F28" s="5">
        <f>$B28&amp;"|"&amp;MIN($E28,$C28)</f>
        <v/>
      </c>
      <c r="G28" s="5">
        <f>IFERROR(VLOOKUP($F28,Data!$A:$F,5,FALSE),"")</f>
        <v/>
      </c>
      <c r="H28" s="5">
        <f>IF($D28="","",($D28*$G28)-D11)</f>
        <v/>
      </c>
      <c r="I28" s="5">
        <f>IF($D28="","",$D28*IFERROR(VLOOKUP($F28,Data!$A:$F,6,FALSE),0))</f>
        <v/>
      </c>
    </row>
    <row r="29">
      <c r="A29" s="6" t="inlineStr">
        <is>
          <t>Sewage</t>
        </is>
      </c>
      <c r="B29" s="3" t="inlineStr">
        <is>
          <t>Small Sewage Outflow Pipe</t>
        </is>
      </c>
      <c r="C29" s="5" t="n">
        <v>5</v>
      </c>
      <c r="D29" s="5">
        <f>IF($G29="","",CEILING(D11/$G29,1))</f>
        <v/>
      </c>
      <c r="E29" s="4" t="n">
        <v>5</v>
      </c>
      <c r="F29" s="5">
        <f>$B29&amp;"|"&amp;MIN($E29,$C29)</f>
        <v/>
      </c>
      <c r="G29" s="5">
        <f>IFERROR(VLOOKUP($F29,Data!$A:$F,5,FALSE),"")</f>
        <v/>
      </c>
      <c r="H29" s="5">
        <f>IF($D29="","",($D29*$G29)-D11)</f>
        <v/>
      </c>
      <c r="I29" s="5">
        <f>IF($D29="","",$D29*IFERROR(VLOOKUP($F29,Data!$A:$F,6,FALSE),0))</f>
        <v/>
      </c>
    </row>
    <row r="30">
      <c r="A30" s="6" t="inlineStr">
        <is>
          <t>Sewage</t>
        </is>
      </c>
      <c r="B30" s="3" t="inlineStr">
        <is>
          <t>Basic Sewage Outflow Pipe</t>
        </is>
      </c>
      <c r="C30" s="5" t="n">
        <v>8</v>
      </c>
      <c r="D30" s="5">
        <f>IF($G30="","",CEILING(D11/$G30,1))</f>
        <v/>
      </c>
      <c r="E30" s="4" t="n">
        <v>8</v>
      </c>
      <c r="F30" s="5">
        <f>$B30&amp;"|"&amp;MIN($E30,$C30)</f>
        <v/>
      </c>
      <c r="G30" s="5">
        <f>IFERROR(VLOOKUP($F30,Data!$A:$F,5,FALSE),"")</f>
        <v/>
      </c>
      <c r="H30" s="5">
        <f>IF($D30="","",($D30*$G30)-D11)</f>
        <v/>
      </c>
      <c r="I30" s="5">
        <f>IF($D30="","",$D30*IFERROR(VLOOKUP($F30,Data!$A:$F,6,FALSE),0))</f>
        <v/>
      </c>
    </row>
    <row r="31">
      <c r="A31" s="6" t="inlineStr">
        <is>
          <t>Sewage</t>
        </is>
      </c>
      <c r="B31" s="3" t="inlineStr">
        <is>
          <t>Deluxe Sewage Treatment Plant</t>
        </is>
      </c>
      <c r="C31" s="5" t="n">
        <v>10</v>
      </c>
      <c r="D31" s="5">
        <f>IF($G31="","",CEILING(D11/$G31,1))</f>
        <v/>
      </c>
      <c r="E31" s="4" t="n">
        <v>10</v>
      </c>
      <c r="F31" s="5">
        <f>$B31&amp;"|"&amp;MIN($E31,$C31)</f>
        <v/>
      </c>
      <c r="G31" s="5">
        <f>IFERROR(VLOOKUP($F31,Data!$A:$F,5,FALSE),"")</f>
        <v/>
      </c>
      <c r="H31" s="5">
        <f>IF($D31="","",($D31*$G31)-D11)</f>
        <v/>
      </c>
      <c r="I31" s="5">
        <f>IF($D31="","",$D31*IFERROR(VLOOKUP($F31,Data!$A:$F,6,FALSE),0))</f>
        <v/>
      </c>
    </row>
    <row r="32">
      <c r="A32" s="6" t="inlineStr">
        <is>
          <t>Sewage</t>
        </is>
      </c>
      <c r="B32" s="3" t="inlineStr">
        <is>
          <t>Omega Sewage Treatment Plant</t>
        </is>
      </c>
      <c r="C32" s="5" t="n">
        <v>10</v>
      </c>
      <c r="D32" s="5">
        <f>IF($G32="","",CEILING(D11/$G32,1))</f>
        <v/>
      </c>
      <c r="E32" s="4" t="n">
        <v>10</v>
      </c>
      <c r="F32" s="5">
        <f>$B32&amp;"|"&amp;MIN($E32,$C32)</f>
        <v/>
      </c>
      <c r="G32" s="5">
        <f>IFERROR(VLOOKUP($F32,Data!$A:$F,5,FALSE),"")</f>
        <v/>
      </c>
      <c r="H32" s="5">
        <f>IF($D32="","",($D32*$G32)-D11)</f>
        <v/>
      </c>
      <c r="I32" s="5">
        <f>IF($D32="","",$D32*IFERROR(VLOOKUP($F32,Data!$A:$F,6,FALSE),0))</f>
        <v/>
      </c>
    </row>
    <row r="33">
      <c r="A33" s="6" t="inlineStr">
        <is>
          <t>Waste</t>
        </is>
      </c>
      <c r="B33" s="3" t="inlineStr">
        <is>
          <t>Small Garbage Dump</t>
        </is>
      </c>
      <c r="C33" s="5" t="n">
        <v>5</v>
      </c>
      <c r="D33" s="5">
        <f>IF($G33="","",CEILING(D11/$G33,1))</f>
        <v/>
      </c>
      <c r="E33" s="4" t="n">
        <v>5</v>
      </c>
      <c r="F33" s="5">
        <f>$B33&amp;"|"&amp;MIN($E33,$C33)</f>
        <v/>
      </c>
      <c r="G33" s="5">
        <f>IFERROR(VLOOKUP($F33,Data!$A:$F,5,FALSE),"")</f>
        <v/>
      </c>
      <c r="H33" s="5">
        <f>IF($D33="","",($D33*$G33)-D11)</f>
        <v/>
      </c>
      <c r="I33" s="5">
        <f>IF($D33="","",$D33*IFERROR(VLOOKUP($F33,Data!$A:$F,6,FALSE),0))</f>
        <v/>
      </c>
    </row>
    <row r="34">
      <c r="A34" s="6" t="inlineStr">
        <is>
          <t>Waste</t>
        </is>
      </c>
      <c r="B34" s="3" t="inlineStr">
        <is>
          <t>Garbage Dump</t>
        </is>
      </c>
      <c r="C34" s="5" t="n">
        <v>5</v>
      </c>
      <c r="D34" s="5">
        <f>IF($G34="","",CEILING(D11/$G34,1))</f>
        <v/>
      </c>
      <c r="E34" s="4" t="n">
        <v>5</v>
      </c>
      <c r="F34" s="5">
        <f>$B34&amp;"|"&amp;MIN($E34,$C34)</f>
        <v/>
      </c>
      <c r="G34" s="5">
        <f>IFERROR(VLOOKUP($F34,Data!$A:$F,5,FALSE),"")</f>
        <v/>
      </c>
      <c r="H34" s="5">
        <f>IF($D34="","",($D34*$G34)-D11)</f>
        <v/>
      </c>
      <c r="I34" s="5">
        <f>IF($D34="","",$D34*IFERROR(VLOOKUP($F34,Data!$A:$F,6,FALSE),0))</f>
        <v/>
      </c>
    </row>
    <row r="35">
      <c r="A35" s="6" t="inlineStr">
        <is>
          <t>Waste</t>
        </is>
      </c>
      <c r="B35" s="3" t="inlineStr">
        <is>
          <t>Garbage Incinerator</t>
        </is>
      </c>
      <c r="C35" s="5" t="n">
        <v>8</v>
      </c>
      <c r="D35" s="5">
        <f>IF($G35="","",CEILING(D11/$G35,1))</f>
        <v/>
      </c>
      <c r="E35" s="4" t="n">
        <v>8</v>
      </c>
      <c r="F35" s="5">
        <f>$B35&amp;"|"&amp;MIN($E35,$C35)</f>
        <v/>
      </c>
      <c r="G35" s="5">
        <f>IFERROR(VLOOKUP($F35,Data!$A:$F,5,FALSE),"")</f>
        <v/>
      </c>
      <c r="H35" s="5">
        <f>IF($D35="","",($D35*$G35)-D11)</f>
        <v/>
      </c>
      <c r="I35" s="5">
        <f>IF($D35="","",$D35*IFERROR(VLOOKUP($F35,Data!$A:$F,6,FALSE),0))</f>
        <v/>
      </c>
    </row>
    <row r="36">
      <c r="A36" s="6" t="inlineStr">
        <is>
          <t>Waste</t>
        </is>
      </c>
      <c r="B36" s="3" t="inlineStr">
        <is>
          <t>Recycling Center</t>
        </is>
      </c>
      <c r="C36" s="5" t="n">
        <v>10</v>
      </c>
      <c r="D36" s="5">
        <f>IF($G36="","",CEILING(D11/$G36,1))</f>
        <v/>
      </c>
      <c r="E36" s="4" t="n">
        <v>10</v>
      </c>
      <c r="F36" s="5">
        <f>$B36&amp;"|"&amp;MIN($E36,$C36)</f>
        <v/>
      </c>
      <c r="G36" s="5">
        <f>IFERROR(VLOOKUP($F36,Data!$A:$F,5,FALSE),"")</f>
        <v/>
      </c>
      <c r="H36" s="5">
        <f>IF($D36="","",($D36*$G36)-D11)</f>
        <v/>
      </c>
      <c r="I36" s="5">
        <f>IF($D36="","",$D36*IFERROR(VLOOKUP($F36,Data!$A:$F,6,FALSE),0))</f>
        <v/>
      </c>
    </row>
    <row r="37">
      <c r="A37" s="6" t="inlineStr">
        <is>
          <t>Waste</t>
        </is>
      </c>
      <c r="B37" s="3" t="inlineStr">
        <is>
          <t>Omega Recycling Center</t>
        </is>
      </c>
      <c r="C37" s="5" t="n">
        <v>10</v>
      </c>
      <c r="D37" s="5">
        <f>IF($G37="","",CEILING(D11/$G37,1))</f>
        <v/>
      </c>
      <c r="E37" s="4" t="n">
        <v>10</v>
      </c>
      <c r="F37" s="5">
        <f>$B37&amp;"|"&amp;MIN($E37,$C37)</f>
        <v/>
      </c>
      <c r="G37" s="5">
        <f>IFERROR(VLOOKUP($F37,Data!$A:$F,5,FALSE),"")</f>
        <v/>
      </c>
      <c r="H37" s="5">
        <f>IF($D37="","",($D37*$G37)-D11)</f>
        <v/>
      </c>
      <c r="I37" s="5">
        <f>IF($D37="","",$D37*IFERROR(VLOOKUP($F37,Data!$A:$F,6,FALSE),0))</f>
        <v/>
      </c>
    </row>
    <row r="38">
      <c r="A38" s="6" t="inlineStr">
        <is>
          <t>Fire</t>
        </is>
      </c>
      <c r="B38" s="3" t="inlineStr">
        <is>
          <t>Small Fire Station</t>
        </is>
      </c>
      <c r="C38" s="5" t="n">
        <v>3</v>
      </c>
      <c r="D38" s="5">
        <f>IF($G38="","",CEILING(D11/$G38,1))</f>
        <v/>
      </c>
      <c r="E38" s="4" t="n">
        <v>3</v>
      </c>
      <c r="F38" s="5">
        <f>$B38&amp;"|"&amp;MIN($E38,$C38)</f>
        <v/>
      </c>
      <c r="G38" s="5">
        <f>IFERROR(VLOOKUP($F38,Data!$A:$F,5,FALSE),"")</f>
        <v/>
      </c>
      <c r="H38" s="5">
        <f>IF($D38="","",($D38*$G38)-D11)</f>
        <v/>
      </c>
      <c r="I38" s="5">
        <f>IF($D38="","",$D38*IFERROR(VLOOKUP($F38,Data!$A:$F,6,FALSE),0))</f>
        <v/>
      </c>
    </row>
    <row r="39">
      <c r="A39" s="6" t="inlineStr">
        <is>
          <t>Fire</t>
        </is>
      </c>
      <c r="B39" s="3" t="inlineStr">
        <is>
          <t>Basic Fire Station</t>
        </is>
      </c>
      <c r="C39" s="5" t="n">
        <v>5</v>
      </c>
      <c r="D39" s="5">
        <f>IF($G39="","",CEILING(D11/$G39,1))</f>
        <v/>
      </c>
      <c r="E39" s="4" t="n">
        <v>5</v>
      </c>
      <c r="F39" s="5">
        <f>$B39&amp;"|"&amp;MIN($E39,$C39)</f>
        <v/>
      </c>
      <c r="G39" s="5">
        <f>IFERROR(VLOOKUP($F39,Data!$A:$F,5,FALSE),"")</f>
        <v/>
      </c>
      <c r="H39" s="5">
        <f>IF($D39="","",($D39*$G39)-D11)</f>
        <v/>
      </c>
      <c r="I39" s="5">
        <f>IF($D39="","",$D39*IFERROR(VLOOKUP($F39,Data!$A:$F,6,FALSE),0))</f>
        <v/>
      </c>
    </row>
    <row r="40">
      <c r="A40" s="6" t="inlineStr">
        <is>
          <t>Fire</t>
        </is>
      </c>
      <c r="B40" s="3" t="inlineStr">
        <is>
          <t>Deluxe Fire Station</t>
        </is>
      </c>
      <c r="C40" s="5" t="n">
        <v>8</v>
      </c>
      <c r="D40" s="5">
        <f>IF($G40="","",CEILING(D11/$G40,1))</f>
        <v/>
      </c>
      <c r="E40" s="4" t="n">
        <v>8</v>
      </c>
      <c r="F40" s="5">
        <f>$B40&amp;"|"&amp;MIN($E40,$C40)</f>
        <v/>
      </c>
      <c r="G40" s="5">
        <f>IFERROR(VLOOKUP($F40,Data!$A:$F,5,FALSE),"")</f>
        <v/>
      </c>
      <c r="H40" s="5">
        <f>IF($D40="","",($D40*$G40)-D11)</f>
        <v/>
      </c>
      <c r="I40" s="5">
        <f>IF($D40="","",$D40*IFERROR(VLOOKUP($F40,Data!$A:$F,6,FALSE),0))</f>
        <v/>
      </c>
    </row>
    <row r="41">
      <c r="A41" s="6" t="inlineStr">
        <is>
          <t>Police</t>
        </is>
      </c>
      <c r="B41" s="3" t="inlineStr">
        <is>
          <t>Small Police Station</t>
        </is>
      </c>
      <c r="C41" s="5" t="n">
        <v>3</v>
      </c>
      <c r="D41" s="5">
        <f>IF($G41="","",CEILING(D11/$G41,1))</f>
        <v/>
      </c>
      <c r="E41" s="4" t="n">
        <v>3</v>
      </c>
      <c r="F41" s="5">
        <f>$B41&amp;"|"&amp;MIN($E41,$C41)</f>
        <v/>
      </c>
      <c r="G41" s="5">
        <f>IFERROR(VLOOKUP($F41,Data!$A:$F,5,FALSE),"")</f>
        <v/>
      </c>
      <c r="H41" s="5">
        <f>IF($D41="","",($D41*$G41)-D11)</f>
        <v/>
      </c>
      <c r="I41" s="5">
        <f>IF($D41="","",$D41*IFERROR(VLOOKUP($F41,Data!$A:$F,6,FALSE),0))</f>
        <v/>
      </c>
    </row>
    <row r="42">
      <c r="A42" s="6" t="inlineStr">
        <is>
          <t>Police</t>
        </is>
      </c>
      <c r="B42" s="3" t="inlineStr">
        <is>
          <t>Basic Police Station</t>
        </is>
      </c>
      <c r="C42" s="5" t="n">
        <v>5</v>
      </c>
      <c r="D42" s="5">
        <f>IF($G42="","",CEILING(D11/$G42,1))</f>
        <v/>
      </c>
      <c r="E42" s="4" t="n">
        <v>5</v>
      </c>
      <c r="F42" s="5">
        <f>$B42&amp;"|"&amp;MIN($E42,$C42)</f>
        <v/>
      </c>
      <c r="G42" s="5">
        <f>IFERROR(VLOOKUP($F42,Data!$A:$F,5,FALSE),"")</f>
        <v/>
      </c>
      <c r="H42" s="5">
        <f>IF($D42="","",($D42*$G42)-D11)</f>
        <v/>
      </c>
      <c r="I42" s="5">
        <f>IF($D42="","",$D42*IFERROR(VLOOKUP($F42,Data!$A:$F,6,FALSE),0))</f>
        <v/>
      </c>
    </row>
    <row r="43">
      <c r="A43" s="6" t="inlineStr">
        <is>
          <t>Police</t>
        </is>
      </c>
      <c r="B43" s="3" t="inlineStr">
        <is>
          <t>Police Precinct</t>
        </is>
      </c>
      <c r="C43" s="5" t="n">
        <v>8</v>
      </c>
      <c r="D43" s="5">
        <f>IF($G43="","",CEILING(D11/$G43,1))</f>
        <v/>
      </c>
      <c r="E43" s="4" t="n">
        <v>8</v>
      </c>
      <c r="F43" s="5">
        <f>$B43&amp;"|"&amp;MIN($E43,$C43)</f>
        <v/>
      </c>
      <c r="G43" s="5">
        <f>IFERROR(VLOOKUP($F43,Data!$A:$F,5,FALSE),"")</f>
        <v/>
      </c>
      <c r="H43" s="5">
        <f>IF($D43="","",($D43*$G43)-D11)</f>
        <v/>
      </c>
      <c r="I43" s="5">
        <f>IF($D43="","",$D43*IFERROR(VLOOKUP($F43,Data!$A:$F,6,FALSE),0))</f>
        <v/>
      </c>
    </row>
    <row r="44">
      <c r="A44" s="6" t="inlineStr">
        <is>
          <t>Health</t>
        </is>
      </c>
      <c r="B44" s="3" t="inlineStr">
        <is>
          <t>Small Health Clinic</t>
        </is>
      </c>
      <c r="C44" s="5" t="n">
        <v>3</v>
      </c>
      <c r="D44" s="5">
        <f>IF($G44="","",CEILING(D11/$G44,1))</f>
        <v/>
      </c>
      <c r="E44" s="4" t="n">
        <v>3</v>
      </c>
      <c r="F44" s="5">
        <f>$B44&amp;"|"&amp;MIN($E44,$C44)</f>
        <v/>
      </c>
      <c r="G44" s="5">
        <f>IFERROR(VLOOKUP($F44,Data!$A:$F,5,FALSE),"")</f>
        <v/>
      </c>
      <c r="H44" s="5">
        <f>IF($D44="","",($D44*$G44)-D11)</f>
        <v/>
      </c>
      <c r="I44" s="5">
        <f>IF($D44="","",$D44*IFERROR(VLOOKUP($F44,Data!$A:$F,6,FALSE),0))</f>
        <v/>
      </c>
    </row>
    <row r="45">
      <c r="A45" s="6" t="inlineStr">
        <is>
          <t>Health</t>
        </is>
      </c>
      <c r="B45" s="3" t="inlineStr">
        <is>
          <t>Health Clinic</t>
        </is>
      </c>
      <c r="C45" s="5" t="n">
        <v>5</v>
      </c>
      <c r="D45" s="5">
        <f>IF($G45="","",CEILING(D11/$G45,1))</f>
        <v/>
      </c>
      <c r="E45" s="4" t="n">
        <v>5</v>
      </c>
      <c r="F45" s="5">
        <f>$B45&amp;"|"&amp;MIN($E45,$C45)</f>
        <v/>
      </c>
      <c r="G45" s="5">
        <f>IFERROR(VLOOKUP($F45,Data!$A:$F,5,FALSE),"")</f>
        <v/>
      </c>
      <c r="H45" s="5">
        <f>IF($D45="","",($D45*$G45)-D11)</f>
        <v/>
      </c>
      <c r="I45" s="5">
        <f>IF($D45="","",$D45*IFERROR(VLOOKUP($F45,Data!$A:$F,6,FALSE),0))</f>
        <v/>
      </c>
    </row>
    <row r="46">
      <c r="A46" s="6" t="inlineStr">
        <is>
          <t>Health</t>
        </is>
      </c>
      <c r="B46" s="3" t="inlineStr">
        <is>
          <t>Hospital</t>
        </is>
      </c>
      <c r="C46" s="5" t="n">
        <v>8</v>
      </c>
      <c r="D46" s="5">
        <f>IF($G46="","",CEILING(D11/$G46,1))</f>
        <v/>
      </c>
      <c r="E46" s="4" t="n">
        <v>8</v>
      </c>
      <c r="F46" s="5">
        <f>$B46&amp;"|"&amp;MIN($E46,$C46)</f>
        <v/>
      </c>
      <c r="G46" s="5">
        <f>IFERROR(VLOOKUP($F46,Data!$A:$F,5,FALSE),"")</f>
        <v/>
      </c>
      <c r="H46" s="5">
        <f>IF($D46="","",($D46*$G46)-D11)</f>
        <v/>
      </c>
      <c r="I46" s="5">
        <f>IF($D46="","",$D46*IFERROR(VLOOKUP($F46,Data!$A:$F,6,FALSE),0))</f>
        <v/>
      </c>
    </row>
    <row r="47">
      <c r="A47" s="6" t="inlineStr">
        <is>
          <t>Regional Services</t>
        </is>
      </c>
      <c r="B47" s="3" t="inlineStr">
        <is>
          <t>Small Regional Service</t>
        </is>
      </c>
      <c r="C47" s="5" t="n">
        <v>5</v>
      </c>
      <c r="D47" s="5">
        <f>IF($G47="","",CEILING(D11/$G47,1))</f>
        <v/>
      </c>
      <c r="E47" s="4" t="n">
        <v>5</v>
      </c>
      <c r="F47" s="5">
        <f>$B47&amp;"|"&amp;MIN($E47,$C47)</f>
        <v/>
      </c>
      <c r="G47" s="5">
        <f>IFERROR(VLOOKUP($F47,Data!$A:$F,5,FALSE),"")</f>
        <v/>
      </c>
      <c r="H47" s="5">
        <f>IF($D47="","",($D47*$G47)-D11)</f>
        <v/>
      </c>
      <c r="I47" s="5">
        <f>IF($D47="","",$D47*IFERROR(VLOOKUP($F47,Data!$A:$F,6,FALSE),0))</f>
        <v/>
      </c>
    </row>
    <row r="48">
      <c r="A48" s="6" t="inlineStr">
        <is>
          <t>Regional Services</t>
        </is>
      </c>
      <c r="B48" s="3" t="inlineStr">
        <is>
          <t>Medium Regional Service</t>
        </is>
      </c>
      <c r="C48" s="5" t="n">
        <v>8</v>
      </c>
      <c r="D48" s="5">
        <f>IF($G48="","",CEILING(D11/$G48,1))</f>
        <v/>
      </c>
      <c r="E48" s="4" t="n">
        <v>8</v>
      </c>
      <c r="F48" s="5">
        <f>$B48&amp;"|"&amp;MIN($E48,$C48)</f>
        <v/>
      </c>
      <c r="G48" s="5">
        <f>IFERROR(VLOOKUP($F48,Data!$A:$F,5,FALSE),"")</f>
        <v/>
      </c>
      <c r="H48" s="5">
        <f>IF($D48="","",($D48*$G48)-D11)</f>
        <v/>
      </c>
      <c r="I48" s="5">
        <f>IF($D48="","",$D48*IFERROR(VLOOKUP($F48,Data!$A:$F,6,FALSE),0))</f>
        <v/>
      </c>
    </row>
    <row r="49" ht="15.6" customHeight="1" s="11">
      <c r="A49" s="6" t="inlineStr">
        <is>
          <t>Regional Services</t>
        </is>
      </c>
      <c r="B49" s="3" t="inlineStr">
        <is>
          <t>Large Regional Service</t>
        </is>
      </c>
      <c r="C49" s="5" t="n">
        <v>10</v>
      </c>
      <c r="D49" s="5">
        <f>IF($G49="","",CEILING(D11/$G49,1))</f>
        <v/>
      </c>
      <c r="E49" s="4" t="n">
        <v>10</v>
      </c>
      <c r="F49" s="5">
        <f>$B49&amp;"|"&amp;MIN($E49,$C49)</f>
        <v/>
      </c>
      <c r="G49" s="5">
        <f>IFERROR(VLOOKUP($F49,Data!$A:$F,5,FALSE),"")</f>
        <v/>
      </c>
      <c r="H49" s="5">
        <f>IF($D49="","",($D49*$G49)-D11)</f>
        <v/>
      </c>
      <c r="I49" s="5">
        <f>IF($D49="","",$D49*IFERROR(VLOOKUP($F49,Data!$A:$F,6,FALSE),0))</f>
        <v/>
      </c>
    </row>
    <row r="50">
      <c r="A50" s="6" t="inlineStr">
        <is>
          <t>ControlNet</t>
        </is>
      </c>
      <c r="B50" s="3" t="inlineStr">
        <is>
          <t>Small ControlNet</t>
        </is>
      </c>
      <c r="C50" s="5" t="n">
        <v>10</v>
      </c>
      <c r="D50" s="5">
        <f>IF($G50="","",CEILING(D11/$G50,1))</f>
        <v/>
      </c>
      <c r="E50" s="4" t="n">
        <v>10</v>
      </c>
      <c r="F50" s="5">
        <f>$B50&amp;"|"&amp;MIN($E50,$C50)</f>
        <v/>
      </c>
      <c r="G50" s="5">
        <f>IFERROR(VLOOKUP($F50,Data!$A:$F,5,FALSE),"")</f>
        <v/>
      </c>
      <c r="H50" s="5">
        <f>IF($D50="","",($D50*$G50)-D11)</f>
        <v/>
      </c>
      <c r="I50" s="5">
        <f>IF($D50="","",$D50*IFERROR(VLOOKUP($F50,Data!$A:$F,6,FALSE),0))</f>
        <v/>
      </c>
    </row>
    <row r="51">
      <c r="A51" s="6" t="inlineStr">
        <is>
          <t>ControlNet</t>
        </is>
      </c>
      <c r="B51" s="3" t="inlineStr">
        <is>
          <t>Basic ControlNet</t>
        </is>
      </c>
      <c r="C51" s="5" t="n">
        <v>10</v>
      </c>
      <c r="D51" s="5">
        <f>IF($G51="","",CEILING(D11/$G51,1))</f>
        <v/>
      </c>
      <c r="E51" s="4" t="n">
        <v>10</v>
      </c>
      <c r="F51" s="5">
        <f>$B51&amp;"|"&amp;MIN($E51,$C51)</f>
        <v/>
      </c>
      <c r="G51" s="5">
        <f>IFERROR(VLOOKUP($F51,Data!$A:$F,5,FALSE),"")</f>
        <v/>
      </c>
      <c r="H51" s="5">
        <f>IF($D51="","",($D51*$G51)-D11)</f>
        <v/>
      </c>
      <c r="I51" s="5">
        <f>IF($D51="","",$D51*IFERROR(VLOOKUP($F51,Data!$A:$F,6,FALSE),0))</f>
        <v/>
      </c>
    </row>
    <row r="52">
      <c r="A52" s="6" t="inlineStr">
        <is>
          <t>ControlNet</t>
        </is>
      </c>
      <c r="B52" s="3" t="inlineStr">
        <is>
          <t>Deluxe ControlNet</t>
        </is>
      </c>
      <c r="C52" s="5" t="n">
        <v>10</v>
      </c>
      <c r="D52" s="5">
        <f>IF($G52="","",CEILING(D11/$G52,1))</f>
        <v/>
      </c>
      <c r="E52" s="4" t="n">
        <v>10</v>
      </c>
      <c r="F52" s="5">
        <f>$B52&amp;"|"&amp;MIN($E52,$C52)</f>
        <v/>
      </c>
      <c r="G52" s="5">
        <f>IFERROR(VLOOKUP($F52,Data!$A:$F,5,FALSE),"")</f>
        <v/>
      </c>
      <c r="H52" s="5">
        <f>IF($D52="","",($D52*$G52)-D11)</f>
        <v/>
      </c>
      <c r="I52" s="5">
        <f>IF($D52="","",$D52*IFERROR(VLOOKUP($F52,Data!$A:$F,6,FALSE),0))</f>
        <v/>
      </c>
    </row>
    <row r="53">
      <c r="A53" s="6" t="inlineStr">
        <is>
          <t>ControlNet</t>
        </is>
      </c>
      <c r="B53" s="3" t="inlineStr">
        <is>
          <t>ControlNet HQ</t>
        </is>
      </c>
      <c r="C53" s="5" t="n">
        <v>10</v>
      </c>
      <c r="D53" s="5">
        <f>IF($G53="","",CEILING(D11/$G53,1))</f>
        <v/>
      </c>
      <c r="E53" s="4" t="n">
        <v>10</v>
      </c>
      <c r="F53" s="5">
        <f>$B53&amp;"|"&amp;MIN($E53,$C53)</f>
        <v/>
      </c>
      <c r="G53" s="5">
        <f>IFERROR(VLOOKUP($F53,Data!$A:$F,5,FALSE),"")</f>
        <v/>
      </c>
      <c r="H53" s="5">
        <f>IF($D53="","",($D53*$G53)-D11)</f>
        <v/>
      </c>
      <c r="I53" s="5">
        <f>IF($D53="","",$D53*IFERROR(VLOOKUP($F53,Data!$A:$F,6,FALSE),0))</f>
        <v/>
      </c>
    </row>
    <row r="54">
      <c r="A54" s="6" t="inlineStr">
        <is>
          <t>Drones</t>
        </is>
      </c>
      <c r="B54" s="3" t="inlineStr">
        <is>
          <t>Small Drone Base</t>
        </is>
      </c>
      <c r="C54" s="5" t="n">
        <v>10</v>
      </c>
      <c r="D54" s="5">
        <f>IF($G54="","",CEILING(D11/$G54,1))</f>
        <v/>
      </c>
      <c r="E54" s="4" t="n">
        <v>10</v>
      </c>
      <c r="F54" s="5">
        <f>$B54&amp;"|"&amp;MIN($E54,$C54)</f>
        <v/>
      </c>
      <c r="G54" s="5">
        <f>IFERROR(VLOOKUP($F54,Data!$A:$F,5,FALSE),"")</f>
        <v/>
      </c>
      <c r="H54" s="5">
        <f>IF($D54="","",($D54*$G54)-D11)</f>
        <v/>
      </c>
      <c r="I54" s="5">
        <f>IF($D54="","",$D54*IFERROR(VLOOKUP($F54,Data!$A:$F,6,FALSE),0))</f>
        <v/>
      </c>
    </row>
    <row r="55">
      <c r="A55" s="6" t="inlineStr">
        <is>
          <t>Drones</t>
        </is>
      </c>
      <c r="B55" s="3" t="inlineStr">
        <is>
          <t>Basic Drone Base</t>
        </is>
      </c>
      <c r="C55" s="5" t="n">
        <v>10</v>
      </c>
      <c r="D55" s="5">
        <f>IF($G55="","",CEILING(D11/$G55,1))</f>
        <v/>
      </c>
      <c r="E55" s="4" t="n">
        <v>10</v>
      </c>
      <c r="F55" s="5">
        <f>$B55&amp;"|"&amp;MIN($E55,$C55)</f>
        <v/>
      </c>
      <c r="G55" s="5">
        <f>IFERROR(VLOOKUP($F55,Data!$A:$F,5,FALSE),"")</f>
        <v/>
      </c>
      <c r="H55" s="5">
        <f>IF($D55="","",($D55*$G55)-D11)</f>
        <v/>
      </c>
      <c r="I55" s="5">
        <f>IF($D55="","",$D55*IFERROR(VLOOKUP($F55,Data!$A:$F,6,FALSE),0))</f>
        <v/>
      </c>
    </row>
    <row r="56">
      <c r="A56" s="6" t="inlineStr">
        <is>
          <t>Drones</t>
        </is>
      </c>
      <c r="B56" s="3" t="inlineStr">
        <is>
          <t>Deluxe Drone Base</t>
        </is>
      </c>
      <c r="C56" s="5" t="n">
        <v>10</v>
      </c>
      <c r="D56" s="5">
        <f>IF($G56="","",CEILING(D11/$G56,1))</f>
        <v/>
      </c>
      <c r="E56" s="4" t="n">
        <v>10</v>
      </c>
      <c r="F56" s="5">
        <f>$B56&amp;"|"&amp;MIN($E56,$C56)</f>
        <v/>
      </c>
      <c r="G56" s="5">
        <f>IFERROR(VLOOKUP($F56,Data!$A:$F,5,FALSE),"")</f>
        <v/>
      </c>
      <c r="H56" s="5">
        <f>IF($D56="","",($D56*$G56)-D11)</f>
        <v/>
      </c>
      <c r="I56" s="5">
        <f>IF($D56="","",$D56*IFERROR(VLOOKUP($F56,Data!$A:$F,6,FALSE),0))</f>
        <v/>
      </c>
    </row>
    <row r="59">
      <c r="A59" s="10" t="inlineStr">
        <is>
          <t>Scenario Builder (compare your own mixes by Quantity + Level)</t>
        </is>
      </c>
    </row>
    <row r="60">
      <c r="A60" s="12" t="inlineStr">
        <is>
          <t>Service</t>
        </is>
      </c>
      <c r="B60" s="12" t="inlineStr">
        <is>
          <t>Utility</t>
        </is>
      </c>
      <c r="C60" s="12" t="inlineStr">
        <is>
          <t>Max Level</t>
        </is>
      </c>
      <c r="D60" s="12" t="inlineStr">
        <is>
          <t>Level</t>
        </is>
      </c>
      <c r="E60" s="12" t="inlineStr">
        <is>
          <t>Quantity</t>
        </is>
      </c>
      <c r="F60" s="12" t="inlineStr">
        <is>
          <t>Key</t>
        </is>
      </c>
      <c r="G60" s="12" t="inlineStr">
        <is>
          <t>Capacity @ Level</t>
        </is>
      </c>
      <c r="H60" s="12" t="inlineStr">
        <is>
          <t>Total Capacity</t>
        </is>
      </c>
      <c r="I60" s="12" t="inlineStr">
        <is>
          <t>Total Cost</t>
        </is>
      </c>
    </row>
    <row r="61">
      <c r="A61" s="6" t="n"/>
      <c r="B61" s="3" t="n"/>
      <c r="C61" s="5">
        <f>IF($B61="","",IFERROR(VLOOKUP($B61&amp;"|1",Data!$A:$G,7,FALSE),""))</f>
        <v/>
      </c>
      <c r="D61" s="4" t="n"/>
      <c r="E61" s="4" t="n">
        <v>0</v>
      </c>
      <c r="F61" s="5">
        <f>IF(OR($B61="",$D61=""),"",$B61&amp;"|"&amp;$D61)</f>
        <v/>
      </c>
      <c r="G61" s="5">
        <f>IFERROR(VLOOKUP($F61,Data!$A:$F,5,FALSE),"")</f>
        <v/>
      </c>
      <c r="H61" s="5">
        <f>IF($G61="","",$E61*$G61)</f>
        <v/>
      </c>
      <c r="I61" s="5">
        <f>IF($F61="","",$E61*IFERROR(VLOOKUP($F61,Data!$A:$F,6,FALSE),0))</f>
        <v/>
      </c>
    </row>
    <row r="62">
      <c r="A62" s="6" t="n"/>
      <c r="B62" s="3" t="n"/>
      <c r="C62" s="5">
        <f>IF($B62="","",IFERROR(VLOOKUP($B62&amp;"|1",Data!$A:$G,7,FALSE),""))</f>
        <v/>
      </c>
      <c r="D62" s="4" t="n"/>
      <c r="E62" s="4" t="n">
        <v>0</v>
      </c>
      <c r="F62" s="5">
        <f>IF(OR($B62="",$D62=""),"",$B62&amp;"|"&amp;$D62)</f>
        <v/>
      </c>
      <c r="G62" s="5">
        <f>IFERROR(VLOOKUP($F62,Data!$A:$F,5,FALSE),"")</f>
        <v/>
      </c>
      <c r="H62" s="5">
        <f>IF($G62="","",$E62*$G62)</f>
        <v/>
      </c>
      <c r="I62" s="5">
        <f>IF($F62="","",$E62*IFERROR(VLOOKUP($F62,Data!$A:$F,6,FALSE),0))</f>
        <v/>
      </c>
    </row>
    <row r="63">
      <c r="A63" s="6" t="n"/>
      <c r="B63" s="3" t="n"/>
      <c r="C63" s="5">
        <f>IF($B63="","",IFERROR(VLOOKUP($B63&amp;"|1",Data!$A:$G,7,FALSE),""))</f>
        <v/>
      </c>
      <c r="D63" s="4" t="n"/>
      <c r="E63" s="4" t="n">
        <v>0</v>
      </c>
      <c r="F63" s="5">
        <f>IF(OR($B63="",$D63=""),"",$B63&amp;"|"&amp;$D63)</f>
        <v/>
      </c>
      <c r="G63" s="5">
        <f>IFERROR(VLOOKUP($F63,Data!$A:$F,5,FALSE),"")</f>
        <v/>
      </c>
      <c r="H63" s="5">
        <f>IF($G63="","",$E63*$G63)</f>
        <v/>
      </c>
      <c r="I63" s="5">
        <f>IF($F63="","",$E63*IFERROR(VLOOKUP($F63,Data!$A:$F,6,FALSE),0))</f>
        <v/>
      </c>
    </row>
    <row r="64">
      <c r="A64" s="6" t="n"/>
      <c r="B64" s="3" t="n"/>
      <c r="C64" s="5">
        <f>IF($B64="","",IFERROR(VLOOKUP($B64&amp;"|1",Data!$A:$G,7,FALSE),""))</f>
        <v/>
      </c>
      <c r="D64" s="4" t="n"/>
      <c r="E64" s="4" t="n">
        <v>0</v>
      </c>
      <c r="F64" s="5">
        <f>IF(OR($B64="",$D64=""),"",$B64&amp;"|"&amp;$D64)</f>
        <v/>
      </c>
      <c r="G64" s="5">
        <f>IFERROR(VLOOKUP($F64,Data!$A:$F,5,FALSE),"")</f>
        <v/>
      </c>
      <c r="H64" s="5">
        <f>IF($G64="","",$E64*$G64)</f>
        <v/>
      </c>
      <c r="I64" s="5">
        <f>IF($F64="","",$E64*IFERROR(VLOOKUP($F64,Data!$A:$F,6,FALSE),0))</f>
        <v/>
      </c>
    </row>
    <row r="65">
      <c r="A65" s="6" t="n"/>
      <c r="B65" s="7" t="n"/>
      <c r="C65" s="5">
        <f>IF($B65="","",IFERROR(VLOOKUP($B65&amp;"|1",Data!$A:$G,7,FALSE),""))</f>
        <v/>
      </c>
      <c r="D65" s="4" t="n"/>
      <c r="E65" s="4" t="n">
        <v>0</v>
      </c>
      <c r="F65" s="5">
        <f>IF(OR($B65="",$D65=""),"",$B65&amp;"|"&amp;$D65)</f>
        <v/>
      </c>
      <c r="G65" s="5">
        <f>IFERROR(VLOOKUP($F65,Data!$A:$F,5,FALSE),"")</f>
        <v/>
      </c>
      <c r="H65" s="5">
        <f>IF($G65="","",$E65*$G65)</f>
        <v/>
      </c>
      <c r="I65" s="5">
        <f>IF($F65="","",$E65*IFERROR(VLOOKUP($F65,Data!$A:$F,6,FALSE),0))</f>
        <v/>
      </c>
    </row>
    <row r="66">
      <c r="A66" s="6" t="n"/>
      <c r="B66" s="7" t="n"/>
      <c r="C66" s="5">
        <f>IF($B66="","",IFERROR(VLOOKUP($B66&amp;"|1",Data!$A:$G,7,FALSE),""))</f>
        <v/>
      </c>
      <c r="D66" s="4" t="n"/>
      <c r="E66" s="4" t="n">
        <v>0</v>
      </c>
      <c r="F66" s="5">
        <f>IF(OR($B66="",$D66=""),"",$B66&amp;"|"&amp;$D66)</f>
        <v/>
      </c>
      <c r="G66" s="5">
        <f>IFERROR(VLOOKUP($F66,Data!$A:$F,5,FALSE),"")</f>
        <v/>
      </c>
      <c r="H66" s="5">
        <f>IF($G66="","",$E66*$G66)</f>
        <v/>
      </c>
      <c r="I66" s="5">
        <f>IF($F66="","",$E66*IFERROR(VLOOKUP($F66,Data!$A:$F,6,FALSE),0))</f>
        <v/>
      </c>
    </row>
    <row r="67">
      <c r="A67" s="6" t="n"/>
      <c r="B67" s="7" t="n"/>
      <c r="C67" s="5">
        <f>IF($B67="","",IFERROR(VLOOKUP($B67&amp;"|1",Data!$A:$G,7,FALSE),""))</f>
        <v/>
      </c>
      <c r="D67" s="4" t="n"/>
      <c r="E67" s="4" t="n">
        <v>0</v>
      </c>
      <c r="F67" s="5">
        <f>IF(OR($B67="",$D67=""),"",$B67&amp;"|"&amp;$D67)</f>
        <v/>
      </c>
      <c r="G67" s="5">
        <f>IFERROR(VLOOKUP($F67,Data!$A:$F,5,FALSE),"")</f>
        <v/>
      </c>
      <c r="H67" s="5">
        <f>IF($G67="","",$E67*$G67)</f>
        <v/>
      </c>
      <c r="I67" s="5">
        <f>IF($F67="","",$E67*IFERROR(VLOOKUP($F67,Data!$A:$F,6,FALSE),0))</f>
        <v/>
      </c>
    </row>
    <row r="68">
      <c r="A68" s="6" t="n"/>
      <c r="B68" s="7" t="n"/>
      <c r="C68" s="5">
        <f>IF($B68="","",IFERROR(VLOOKUP($B68&amp;"|1",Data!$A:$G,7,FALSE),""))</f>
        <v/>
      </c>
      <c r="D68" s="4" t="n"/>
      <c r="E68" s="4" t="n">
        <v>0</v>
      </c>
      <c r="F68" s="5">
        <f>IF(OR($B68="",$D68=""),"",$B68&amp;"|"&amp;$D68)</f>
        <v/>
      </c>
      <c r="G68" s="5">
        <f>IFERROR(VLOOKUP($F68,Data!$A:$F,5,FALSE),"")</f>
        <v/>
      </c>
      <c r="H68" s="5">
        <f>IF($G68="","",$E68*$G68)</f>
        <v/>
      </c>
      <c r="I68" s="5">
        <f>IF($F68="","",$E68*IFERROR(VLOOKUP($F68,Data!$A:$F,6,FALSE),0))</f>
        <v/>
      </c>
    </row>
    <row r="69">
      <c r="A69" s="6" t="n"/>
      <c r="B69" s="7" t="n"/>
      <c r="C69" s="5">
        <f>IF($B69="","",IFERROR(VLOOKUP($B69&amp;"|1",Data!$A:$G,7,FALSE),""))</f>
        <v/>
      </c>
      <c r="D69" s="4" t="n"/>
      <c r="E69" s="4" t="n">
        <v>0</v>
      </c>
      <c r="F69" s="5">
        <f>IF(OR($B69="",$D69=""),"",$B69&amp;"|"&amp;$D69)</f>
        <v/>
      </c>
      <c r="G69" s="5">
        <f>IFERROR(VLOOKUP($F69,Data!$A:$F,5,FALSE),"")</f>
        <v/>
      </c>
      <c r="H69" s="5">
        <f>IF($G69="","",$E69*$G69)</f>
        <v/>
      </c>
      <c r="I69" s="5">
        <f>IF($F69="","",$E69*IFERROR(VLOOKUP($F69,Data!$A:$F,6,FALSE),0))</f>
        <v/>
      </c>
    </row>
    <row r="70">
      <c r="A70" s="6" t="n"/>
      <c r="B70" s="7" t="n"/>
      <c r="C70" s="5">
        <f>IF($B70="","",IFERROR(VLOOKUP($B70&amp;"|1",Data!$A:$G,7,FALSE),""))</f>
        <v/>
      </c>
      <c r="D70" s="4" t="n"/>
      <c r="E70" s="4" t="n">
        <v>0</v>
      </c>
      <c r="F70" s="5">
        <f>IF(OR($B70="",$D70=""),"",$B70&amp;"|"&amp;$D70)</f>
        <v/>
      </c>
      <c r="G70" s="5">
        <f>IFERROR(VLOOKUP($F70,Data!$A:$F,5,FALSE),"")</f>
        <v/>
      </c>
      <c r="H70" s="5">
        <f>IF($G70="","",$E70*$G70)</f>
        <v/>
      </c>
      <c r="I70" s="5">
        <f>IF($F70="","",$E70*IFERROR(VLOOKUP($F70,Data!$A:$F,6,FALSE),0))</f>
        <v/>
      </c>
    </row>
    <row r="71">
      <c r="A71" s="6" t="n"/>
      <c r="B71" s="7" t="n"/>
      <c r="C71" s="5">
        <f>IF($B71="","",IFERROR(VLOOKUP($B71&amp;"|1",Data!$A:$G,7,FALSE),""))</f>
        <v/>
      </c>
      <c r="D71" s="4" t="n"/>
      <c r="E71" s="4" t="n">
        <v>0</v>
      </c>
      <c r="F71" s="5">
        <f>IF(OR($B71="",$D71=""),"",$B71&amp;"|"&amp;$D71)</f>
        <v/>
      </c>
      <c r="G71" s="5">
        <f>IFERROR(VLOOKUP($F71,Data!$A:$F,5,FALSE),"")</f>
        <v/>
      </c>
      <c r="H71" s="5">
        <f>IF($G71="","",$E71*$G71)</f>
        <v/>
      </c>
      <c r="I71" s="5">
        <f>IF($F71="","",$E71*IFERROR(VLOOKUP($F71,Data!$A:$F,6,FALSE),0))</f>
        <v/>
      </c>
    </row>
    <row r="72">
      <c r="A72" s="6" t="n"/>
      <c r="B72" s="7" t="n"/>
      <c r="C72" s="5">
        <f>IF($B72="","",IFERROR(VLOOKUP($B72&amp;"|1",Data!$A:$G,7,FALSE),""))</f>
        <v/>
      </c>
      <c r="D72" s="4" t="n"/>
      <c r="E72" s="4" t="n">
        <v>0</v>
      </c>
      <c r="F72" s="5">
        <f>IF(OR($B72="",$D72=""),"",$B72&amp;"|"&amp;$D72)</f>
        <v/>
      </c>
      <c r="G72" s="5">
        <f>IFERROR(VLOOKUP($F72,Data!$A:$F,5,FALSE),"")</f>
        <v/>
      </c>
      <c r="H72" s="5">
        <f>IF($G72="","",$E72*$G72)</f>
        <v/>
      </c>
      <c r="I72" s="5">
        <f>IF($F72="","",$E72*IFERROR(VLOOKUP($F72,Data!$A:$F,6,FALSE),0))</f>
        <v/>
      </c>
    </row>
    <row r="73">
      <c r="A73" s="6" t="n"/>
      <c r="C73">
        <f>IF($B73="","",IFERROR(VLOOKUP($B73&amp;"|1",Data!$A:$G,7,FALSE),""))</f>
        <v/>
      </c>
      <c r="E73" t="n">
        <v>0</v>
      </c>
      <c r="F73">
        <f>IF(OR($B73="",$D73=""),"",$B73&amp;"|"&amp;$D73)</f>
        <v/>
      </c>
      <c r="G73">
        <f>IFERROR(VLOOKUP($F73,Data!$A:$F,5,FALSE),"")</f>
        <v/>
      </c>
      <c r="H73">
        <f>IF($G73="","",$E73*$G73)</f>
        <v/>
      </c>
      <c r="I73">
        <f>IF($F73="","",$E73*IFERROR(VLOOKUP($F73,Data!$A:$F,6,FALSE),0))</f>
        <v/>
      </c>
    </row>
    <row r="74">
      <c r="A74" s="6" t="n"/>
      <c r="B74" s="7" t="n"/>
      <c r="C74" s="5">
        <f>IF($B74="","",IFERROR(VLOOKUP($B74&amp;"|1",Data!$A:$G,7,FALSE),""))</f>
        <v/>
      </c>
      <c r="D74" s="4" t="n"/>
      <c r="E74" s="4" t="n">
        <v>0</v>
      </c>
      <c r="F74" s="5">
        <f>IF(OR($B74="",$D74=""),"",$B74&amp;"|"&amp;$D74)</f>
        <v/>
      </c>
      <c r="G74" s="5">
        <f>IFERROR(VLOOKUP($F74,Data!$A:$F,5,FALSE),"")</f>
        <v/>
      </c>
      <c r="H74" s="5">
        <f>IF($G74="","",$E74*$G74)</f>
        <v/>
      </c>
      <c r="I74" s="5">
        <f>IF($F74="","",$E74*IFERROR(VLOOKUP($F74,Data!$A:$F,6,FALSE),0))</f>
        <v/>
      </c>
    </row>
    <row r="75">
      <c r="A75" s="6" t="n"/>
      <c r="B75" s="7" t="n"/>
      <c r="C75" s="5">
        <f>IF($B75="","",IFERROR(VLOOKUP($B75&amp;"|1",Data!$A:$G,7,FALSE),""))</f>
        <v/>
      </c>
      <c r="D75" s="4" t="n"/>
      <c r="E75" s="4" t="n">
        <v>0</v>
      </c>
      <c r="F75" s="5">
        <f>IF(OR($B75="",$D75=""),"",$B75&amp;"|"&amp;$D75)</f>
        <v/>
      </c>
      <c r="G75" s="5">
        <f>IFERROR(VLOOKUP($F75,Data!$A:$F,5,FALSE),"")</f>
        <v/>
      </c>
      <c r="H75" s="5">
        <f>IF($G75="","",$E75*$G75)</f>
        <v/>
      </c>
      <c r="I75" s="5">
        <f>IF($F75="","",$E75*IFERROR(VLOOKUP($F75,Data!$A:$F,6,FALSE),0))</f>
        <v/>
      </c>
    </row>
    <row r="76">
      <c r="A76" s="6" t="n"/>
      <c r="B76" s="7" t="n"/>
      <c r="C76" s="5">
        <f>IF($B76="","",IFERROR(VLOOKUP($B76&amp;"|1",Data!$A:$G,7,FALSE),""))</f>
        <v/>
      </c>
      <c r="D76" s="4" t="n"/>
      <c r="E76" s="4" t="n">
        <v>0</v>
      </c>
      <c r="F76" s="5">
        <f>IF(OR($B76="",$D76=""),"",$B76&amp;"|"&amp;$D76)</f>
        <v/>
      </c>
      <c r="G76" s="5">
        <f>IFERROR(VLOOKUP($F76,Data!$A:$F,5,FALSE),"")</f>
        <v/>
      </c>
      <c r="H76" s="5">
        <f>IF($G76="","",$E76*$G76)</f>
        <v/>
      </c>
      <c r="I76" s="5">
        <f>IF($F76="","",$E76*IFERROR(VLOOKUP($F76,Data!$A:$F,6,FALSE),0))</f>
        <v/>
      </c>
    </row>
    <row r="77">
      <c r="A77" s="6" t="n"/>
      <c r="B77" s="7" t="n"/>
      <c r="C77" s="5">
        <f>IF($B77="","",IFERROR(VLOOKUP($B77&amp;"|1",Data!$A:$G,7,FALSE),""))</f>
        <v/>
      </c>
      <c r="D77" s="4" t="n"/>
      <c r="E77" s="4" t="n">
        <v>0</v>
      </c>
      <c r="F77" s="5">
        <f>IF(OR($B77="",$D77=""),"",$B77&amp;"|"&amp;$D77)</f>
        <v/>
      </c>
      <c r="G77" s="5">
        <f>IFERROR(VLOOKUP($F77,Data!$A:$F,5,FALSE),"")</f>
        <v/>
      </c>
      <c r="H77" s="5">
        <f>IF($G77="","",$E77*$G77)</f>
        <v/>
      </c>
      <c r="I77" s="5">
        <f>IF($F77="","",$E77*IFERROR(VLOOKUP($F77,Data!$A:$F,6,FALSE),0))</f>
        <v/>
      </c>
    </row>
    <row r="78">
      <c r="A78" s="6" t="n"/>
      <c r="B78" s="7" t="n"/>
      <c r="C78" s="5">
        <f>IF($B78="","",IFERROR(VLOOKUP($B78&amp;"|1",Data!$A:$G,7,FALSE),""))</f>
        <v/>
      </c>
      <c r="D78" s="4" t="n"/>
      <c r="E78" s="4" t="n">
        <v>0</v>
      </c>
      <c r="F78" s="5">
        <f>IF(OR($B78="",$D78=""),"",$B78&amp;"|"&amp;$D78)</f>
        <v/>
      </c>
      <c r="G78" s="5">
        <f>IFERROR(VLOOKUP($F78,Data!$A:$F,5,FALSE),"")</f>
        <v/>
      </c>
      <c r="H78" s="5">
        <f>IF($G78="","",$E78*$G78)</f>
        <v/>
      </c>
      <c r="I78" s="5">
        <f>IF($F78="","",$E78*IFERROR(VLOOKUP($F78,Data!$A:$F,6,FALSE),0))</f>
        <v/>
      </c>
    </row>
    <row r="79">
      <c r="A79" s="6" t="n"/>
      <c r="B79" s="7" t="n"/>
      <c r="C79" s="5">
        <f>IF($B79="","",IFERROR(VLOOKUP($B79&amp;"|1",Data!$A:$G,7,FALSE),""))</f>
        <v/>
      </c>
      <c r="D79" s="4" t="n"/>
      <c r="E79" s="4" t="n">
        <v>0</v>
      </c>
      <c r="F79" s="5">
        <f>IF(OR($B79="",$D79=""),"",$B79&amp;"|"&amp;$D79)</f>
        <v/>
      </c>
      <c r="G79" s="5">
        <f>IFERROR(VLOOKUP($F79,Data!$A:$F,5,FALSE),"")</f>
        <v/>
      </c>
      <c r="H79" s="5">
        <f>IF($G79="","",$E79*$G79)</f>
        <v/>
      </c>
      <c r="I79" s="5">
        <f>IF($F79="","",$E79*IFERROR(VLOOKUP($F79,Data!$A:$F,6,FALSE),0))</f>
        <v/>
      </c>
    </row>
    <row r="80">
      <c r="A80" s="6" t="n"/>
      <c r="B80" s="7" t="n"/>
      <c r="C80" s="5">
        <f>IF($B80="","",IFERROR(VLOOKUP($B80&amp;"|1",Data!$A:$G,7,FALSE),""))</f>
        <v/>
      </c>
      <c r="D80" s="4" t="n"/>
      <c r="E80" s="4" t="n">
        <v>0</v>
      </c>
      <c r="F80" s="5">
        <f>IF(OR($B80="",$D80=""),"",$B80&amp;"|"&amp;$D80)</f>
        <v/>
      </c>
      <c r="G80" s="5">
        <f>IFERROR(VLOOKUP($F80,Data!$A:$F,5,FALSE),"")</f>
        <v/>
      </c>
      <c r="H80" s="5">
        <f>IF($G80="","",$E80*$G80)</f>
        <v/>
      </c>
      <c r="I80" s="5">
        <f>IF($F80="","",$E80*IFERROR(VLOOKUP($F80,Data!$A:$F,6,FALSE),0))</f>
        <v/>
      </c>
    </row>
    <row r="81">
      <c r="C81">
        <f>IF($B81="","",IFERROR(VLOOKUP($B81&amp;"|1",Data!$A:$G,7,FALSE),""))</f>
        <v/>
      </c>
      <c r="E81" t="n">
        <v>0</v>
      </c>
      <c r="F81">
        <f>IF(OR($B81="",$D81=""),"",$B81&amp;"|"&amp;$D81)</f>
        <v/>
      </c>
      <c r="G81">
        <f>IFERROR(VLOOKUP($F81,Data!$A:$F,5,FALSE),"")</f>
        <v/>
      </c>
      <c r="H81">
        <f>IF($G81="","",$E81*$G81)</f>
        <v/>
      </c>
      <c r="I81">
        <f>IF($F81="","",$E81*IFERROR(VLOOKUP($F81,Data!$A:$F,6,FALSE),0))</f>
        <v/>
      </c>
    </row>
    <row r="82">
      <c r="C82">
        <f>IF($B82="","",IFERROR(VLOOKUP($B82&amp;"|1",Data!$A:$G,7,FALSE),""))</f>
        <v/>
      </c>
      <c r="E82" t="n">
        <v>0</v>
      </c>
      <c r="F82">
        <f>IF(OR($B82="",$D82=""),"",$B82&amp;"|"&amp;$D82)</f>
        <v/>
      </c>
      <c r="G82" s="8">
        <f>IFERROR(VLOOKUP($F82,Data!$A:$F,5,FALSE),"")</f>
        <v/>
      </c>
      <c r="H82" s="9">
        <f>IF($G82="","",$E82*$G82)</f>
        <v/>
      </c>
      <c r="I82" s="9">
        <f>IF($F82="","",$E82*IFERROR(VLOOKUP($F82,Data!$A:$F,6,FALSE),0))</f>
        <v/>
      </c>
    </row>
    <row r="83">
      <c r="A83" s="14" t="inlineStr">
        <is>
          <t>Scenario Builder: type Utility name exactly as in the main table (e.g., Fusion Power Plant). Choose Level and Quantity to compare mixes. Costs are combined (cost-to-reach-level × Quantity).</t>
        </is>
      </c>
      <c r="C83">
        <f>IF($B83="","",IFERROR(VLOOKUP($B83&amp;"|1",Data!$A:$G,7,FALSE),""))</f>
        <v/>
      </c>
      <c r="E83" t="n">
        <v>0</v>
      </c>
      <c r="F83">
        <f>IF(OR($B83="",$D83=""),"",$B83&amp;"|"&amp;$D83)</f>
        <v/>
      </c>
      <c r="G83">
        <f>IFERROR(VLOOKUP($F83,Data!$A:$F,5,FALSE),"")</f>
        <v/>
      </c>
      <c r="H83">
        <f>IF($G83="","",$E83*$G83)</f>
        <v/>
      </c>
      <c r="I83">
        <f>IF($F83="","",$E83*IFERROR(VLOOKUP($F83,Data!$A:$F,6,FALSE),0))</f>
        <v/>
      </c>
    </row>
    <row r="84">
      <c r="C84">
        <f>IF($B84="","",IFERROR(VLOOKUP($B84&amp;"|1",Data!$A:$G,7,FALSE),""))</f>
        <v/>
      </c>
      <c r="E84" t="n">
        <v>0</v>
      </c>
      <c r="F84">
        <f>IF(OR($B84="",$D84=""),"",$B84&amp;"|"&amp;$D84)</f>
        <v/>
      </c>
      <c r="G84">
        <f>IFERROR(VLOOKUP($F84,Data!$A:$F,5,FALSE),"")</f>
        <v/>
      </c>
      <c r="H84">
        <f>IF($G84="","",$E84*$G84)</f>
        <v/>
      </c>
      <c r="I84">
        <f>IF($F84="","",$E84*IFERROR(VLOOKUP($F84,Data!$A:$F,6,FALSE),0))</f>
        <v/>
      </c>
    </row>
    <row r="85">
      <c r="C85">
        <f>IF($B85="","",IFERROR(VLOOKUP($B85&amp;"|1",Data!$A:$G,7,FALSE),""))</f>
        <v/>
      </c>
      <c r="E85" t="n">
        <v>0</v>
      </c>
      <c r="F85">
        <f>IF(OR($B85="",$D85=""),"",$B85&amp;"|"&amp;$D85)</f>
        <v/>
      </c>
      <c r="G85">
        <f>IFERROR(VLOOKUP($F85,Data!$A:$F,5,FALSE),"")</f>
        <v/>
      </c>
      <c r="H85">
        <f>IF($G85="","",$E85*$G85)</f>
        <v/>
      </c>
      <c r="I85">
        <f>IF($F85="","",$E85*IFERROR(VLOOKUP($F85,Data!$A:$F,6,FALSE),0))</f>
        <v/>
      </c>
    </row>
  </sheetData>
  <mergeCells count="4">
    <mergeCell ref="A1:D1"/>
    <mergeCell ref="F2:G2"/>
    <mergeCell ref="A11:C11"/>
    <mergeCell ref="A14:I14"/>
  </mergeCells>
  <dataValidations count="4">
    <dataValidation sqref="A61 A62 A63 A64 A65 A66 A67 A68 A69 A70 A71 A72 A73 A74 A75 A76 A77 A78 A79 A80 A81 A82 A83 A84 A85" showDropDown="0" showInputMessage="0" showErrorMessage="0" allowBlank="1" type="list">
      <formula1>=ServicesList</formula1>
    </dataValidation>
    <dataValidation sqref="B61 B62 B63 B64 B65 B66 B67 B68 B69 B70 B71 B72 B73 B74 B75 B76 B77 B78 B79 B80 B81 B82 B83 B84 B85" showDropDown="0" showInputMessage="0" showErrorMessage="0" allowBlank="1" type="list">
      <formula1>=UtilitiesList</formula1>
    </dataValidation>
    <dataValidation sqref="D61 D62 D63 D64 D65 D66 D67 D68 D69 D70 D71 D72 D73 D74 D75 D76 D77 D78 D79 D80 D81 D82 D83 D84 D85" showDropDown="0" showInputMessage="0" showErrorMessage="0" allowBlank="1" type="whole" operator="between">
      <formula1>1</formula1>
      <formula2>10</formula2>
    </dataValidation>
    <dataValidation sqref="E61 E62 E63 E64 E65 E66 E67 E68 E69 E70 E71 E72 E73 E74 E75 E76 E77 E78 E79 E80 E81 E82 E83 E84 E85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Key</t>
        </is>
      </c>
      <c r="B1" t="inlineStr">
        <is>
          <t>Service</t>
        </is>
      </c>
      <c r="C1" t="inlineStr">
        <is>
          <t>Building</t>
        </is>
      </c>
      <c r="D1" t="inlineStr">
        <is>
          <t>Level</t>
        </is>
      </c>
      <c r="E1" t="inlineStr">
        <is>
          <t>Capacity</t>
        </is>
      </c>
      <c r="F1" t="inlineStr">
        <is>
          <t>CumCost</t>
        </is>
      </c>
      <c r="G1" t="inlineStr">
        <is>
          <t>MaxLevel</t>
        </is>
      </c>
    </row>
    <row r="2">
      <c r="A2" t="inlineStr">
        <is>
          <t>Wind Power Plant|1</t>
        </is>
      </c>
      <c r="B2" t="inlineStr">
        <is>
          <t>Power</t>
        </is>
      </c>
      <c r="C2" t="inlineStr">
        <is>
          <t>Wind Power Plant</t>
        </is>
      </c>
      <c r="D2" t="n">
        <v>1</v>
      </c>
      <c r="E2" t="n">
        <v>6</v>
      </c>
      <c r="F2" t="n">
        <v>1500</v>
      </c>
      <c r="G2" t="n">
        <v>3</v>
      </c>
    </row>
    <row r="3">
      <c r="A3" t="inlineStr">
        <is>
          <t>Wind Power Plant|2</t>
        </is>
      </c>
      <c r="B3" t="inlineStr">
        <is>
          <t>Power</t>
        </is>
      </c>
      <c r="C3" t="inlineStr">
        <is>
          <t>Wind Power Plant</t>
        </is>
      </c>
      <c r="D3" t="n">
        <v>2</v>
      </c>
      <c r="E3" t="n">
        <v>12</v>
      </c>
      <c r="F3" t="n">
        <v>3250</v>
      </c>
      <c r="G3" t="n">
        <v>3</v>
      </c>
    </row>
    <row r="4">
      <c r="A4" t="inlineStr">
        <is>
          <t>Wind Power Plant|3</t>
        </is>
      </c>
      <c r="B4" t="inlineStr">
        <is>
          <t>Power</t>
        </is>
      </c>
      <c r="C4" t="inlineStr">
        <is>
          <t>Wind Power Plant</t>
        </is>
      </c>
      <c r="D4" t="n">
        <v>3</v>
      </c>
      <c r="E4" t="n">
        <v>20</v>
      </c>
      <c r="F4" t="n">
        <v>5250</v>
      </c>
      <c r="G4" t="n">
        <v>3</v>
      </c>
    </row>
    <row r="5">
      <c r="A5" t="inlineStr">
        <is>
          <t>Coal Power Plant|1</t>
        </is>
      </c>
      <c r="B5" t="inlineStr">
        <is>
          <t>Power</t>
        </is>
      </c>
      <c r="C5" t="inlineStr">
        <is>
          <t>Coal Power Plant</t>
        </is>
      </c>
      <c r="D5" t="n">
        <v>1</v>
      </c>
      <c r="E5" t="n">
        <v>10</v>
      </c>
      <c r="F5" t="n">
        <v>1000</v>
      </c>
      <c r="G5" t="n">
        <v>3</v>
      </c>
    </row>
    <row r="6">
      <c r="A6" t="inlineStr">
        <is>
          <t>Coal Power Plant|2</t>
        </is>
      </c>
      <c r="B6" t="inlineStr">
        <is>
          <t>Power</t>
        </is>
      </c>
      <c r="C6" t="inlineStr">
        <is>
          <t>Coal Power Plant</t>
        </is>
      </c>
      <c r="D6" t="n">
        <v>2</v>
      </c>
      <c r="E6" t="n">
        <v>25</v>
      </c>
      <c r="F6" t="n">
        <v>2250</v>
      </c>
      <c r="G6" t="n">
        <v>3</v>
      </c>
    </row>
    <row r="7">
      <c r="A7" t="inlineStr">
        <is>
          <t>Coal Power Plant|3</t>
        </is>
      </c>
      <c r="B7" t="inlineStr">
        <is>
          <t>Power</t>
        </is>
      </c>
      <c r="C7" t="inlineStr">
        <is>
          <t>Coal Power Plant</t>
        </is>
      </c>
      <c r="D7" t="n">
        <v>3</v>
      </c>
      <c r="E7" t="n">
        <v>35</v>
      </c>
      <c r="F7" t="n">
        <v>3750</v>
      </c>
      <c r="G7" t="n">
        <v>3</v>
      </c>
    </row>
    <row r="8">
      <c r="A8" t="inlineStr">
        <is>
          <t>Deluxe Wind Power Plant|1</t>
        </is>
      </c>
      <c r="B8" t="inlineStr">
        <is>
          <t>Power</t>
        </is>
      </c>
      <c r="C8" t="inlineStr">
        <is>
          <t>Deluxe Wind Power Plant</t>
        </is>
      </c>
      <c r="D8" t="n">
        <v>1</v>
      </c>
      <c r="E8" t="n">
        <v>15</v>
      </c>
      <c r="F8" t="n">
        <v>2000</v>
      </c>
      <c r="G8" t="n">
        <v>5</v>
      </c>
    </row>
    <row r="9">
      <c r="A9" t="inlineStr">
        <is>
          <t>Deluxe Wind Power Plant|2</t>
        </is>
      </c>
      <c r="B9" t="inlineStr">
        <is>
          <t>Power</t>
        </is>
      </c>
      <c r="C9" t="inlineStr">
        <is>
          <t>Deluxe Wind Power Plant</t>
        </is>
      </c>
      <c r="D9" t="n">
        <v>2</v>
      </c>
      <c r="E9" t="n">
        <v>30</v>
      </c>
      <c r="F9" t="n">
        <v>4250</v>
      </c>
      <c r="G9" t="n">
        <v>5</v>
      </c>
    </row>
    <row r="10">
      <c r="A10" t="inlineStr">
        <is>
          <t>Deluxe Wind Power Plant|3</t>
        </is>
      </c>
      <c r="B10" t="inlineStr">
        <is>
          <t>Power</t>
        </is>
      </c>
      <c r="C10" t="inlineStr">
        <is>
          <t>Deluxe Wind Power Plant</t>
        </is>
      </c>
      <c r="D10" t="n">
        <v>3</v>
      </c>
      <c r="E10" t="n">
        <v>55</v>
      </c>
      <c r="F10" t="n">
        <v>6750</v>
      </c>
      <c r="G10" t="n">
        <v>5</v>
      </c>
    </row>
    <row r="11">
      <c r="A11" t="inlineStr">
        <is>
          <t>Deluxe Wind Power Plant|4</t>
        </is>
      </c>
      <c r="B11" t="inlineStr">
        <is>
          <t>Power</t>
        </is>
      </c>
      <c r="C11" t="inlineStr">
        <is>
          <t>Deluxe Wind Power Plant</t>
        </is>
      </c>
      <c r="D11" t="n">
        <v>4</v>
      </c>
      <c r="E11" t="n">
        <v>75</v>
      </c>
      <c r="F11" t="n">
        <v>9500</v>
      </c>
      <c r="G11" t="n">
        <v>5</v>
      </c>
    </row>
    <row r="12">
      <c r="A12" t="inlineStr">
        <is>
          <t>Deluxe Wind Power Plant|5</t>
        </is>
      </c>
      <c r="B12" t="inlineStr">
        <is>
          <t>Power</t>
        </is>
      </c>
      <c r="C12" t="inlineStr">
        <is>
          <t>Deluxe Wind Power Plant</t>
        </is>
      </c>
      <c r="D12" t="n">
        <v>5</v>
      </c>
      <c r="E12" t="n">
        <v>90</v>
      </c>
      <c r="F12" t="n">
        <v>12500</v>
      </c>
      <c r="G12" t="n">
        <v>5</v>
      </c>
    </row>
    <row r="13">
      <c r="A13" t="inlineStr">
        <is>
          <t>Solar Power Plant|1</t>
        </is>
      </c>
      <c r="B13" t="inlineStr">
        <is>
          <t>Power</t>
        </is>
      </c>
      <c r="C13" t="inlineStr">
        <is>
          <t>Solar Power Plant</t>
        </is>
      </c>
      <c r="D13" t="n">
        <v>1</v>
      </c>
      <c r="E13" t="n">
        <v>20</v>
      </c>
      <c r="F13" t="n">
        <v>3000</v>
      </c>
      <c r="G13" t="n">
        <v>5</v>
      </c>
    </row>
    <row r="14">
      <c r="A14" t="inlineStr">
        <is>
          <t>Solar Power Plant|2</t>
        </is>
      </c>
      <c r="B14" t="inlineStr">
        <is>
          <t>Power</t>
        </is>
      </c>
      <c r="C14" t="inlineStr">
        <is>
          <t>Solar Power Plant</t>
        </is>
      </c>
      <c r="D14" t="n">
        <v>2</v>
      </c>
      <c r="E14" t="n">
        <v>55</v>
      </c>
      <c r="F14" t="n">
        <v>6500</v>
      </c>
      <c r="G14" t="n">
        <v>5</v>
      </c>
    </row>
    <row r="15">
      <c r="A15" t="inlineStr">
        <is>
          <t>Solar Power Plant|3</t>
        </is>
      </c>
      <c r="B15" t="inlineStr">
        <is>
          <t>Power</t>
        </is>
      </c>
      <c r="C15" t="inlineStr">
        <is>
          <t>Solar Power Plant</t>
        </is>
      </c>
      <c r="D15" t="n">
        <v>3</v>
      </c>
      <c r="E15" t="n">
        <v>70</v>
      </c>
      <c r="F15" t="n">
        <v>10500</v>
      </c>
      <c r="G15" t="n">
        <v>5</v>
      </c>
    </row>
    <row r="16">
      <c r="A16" t="inlineStr">
        <is>
          <t>Solar Power Plant|4</t>
        </is>
      </c>
      <c r="B16" t="inlineStr">
        <is>
          <t>Power</t>
        </is>
      </c>
      <c r="C16" t="inlineStr">
        <is>
          <t>Solar Power Plant</t>
        </is>
      </c>
      <c r="D16" t="n">
        <v>4</v>
      </c>
      <c r="E16" t="n">
        <v>90</v>
      </c>
      <c r="F16" t="n">
        <v>15000</v>
      </c>
      <c r="G16" t="n">
        <v>5</v>
      </c>
    </row>
    <row r="17">
      <c r="A17" t="inlineStr">
        <is>
          <t>Solar Power Plant|5</t>
        </is>
      </c>
      <c r="B17" t="inlineStr">
        <is>
          <t>Power</t>
        </is>
      </c>
      <c r="C17" t="inlineStr">
        <is>
          <t>Solar Power Plant</t>
        </is>
      </c>
      <c r="D17" t="n">
        <v>5</v>
      </c>
      <c r="E17" t="n">
        <v>180</v>
      </c>
      <c r="F17" t="n">
        <v>20000</v>
      </c>
      <c r="G17" t="n">
        <v>5</v>
      </c>
    </row>
    <row r="18">
      <c r="A18" t="inlineStr">
        <is>
          <t>Oil Power Plant|1</t>
        </is>
      </c>
      <c r="B18" t="inlineStr">
        <is>
          <t>Power</t>
        </is>
      </c>
      <c r="C18" t="inlineStr">
        <is>
          <t>Oil Power Plant</t>
        </is>
      </c>
      <c r="D18" t="n">
        <v>1</v>
      </c>
      <c r="E18" t="n">
        <v>35</v>
      </c>
      <c r="F18" t="n">
        <v>2500</v>
      </c>
      <c r="G18" t="n">
        <v>5</v>
      </c>
    </row>
    <row r="19">
      <c r="A19" t="inlineStr">
        <is>
          <t>Oil Power Plant|2</t>
        </is>
      </c>
      <c r="B19" t="inlineStr">
        <is>
          <t>Power</t>
        </is>
      </c>
      <c r="C19" t="inlineStr">
        <is>
          <t>Oil Power Plant</t>
        </is>
      </c>
      <c r="D19" t="n">
        <v>2</v>
      </c>
      <c r="E19" t="n">
        <v>90</v>
      </c>
      <c r="F19" t="n">
        <v>5500</v>
      </c>
      <c r="G19" t="n">
        <v>5</v>
      </c>
    </row>
    <row r="20">
      <c r="A20" t="inlineStr">
        <is>
          <t>Oil Power Plant|3</t>
        </is>
      </c>
      <c r="B20" t="inlineStr">
        <is>
          <t>Power</t>
        </is>
      </c>
      <c r="C20" t="inlineStr">
        <is>
          <t>Oil Power Plant</t>
        </is>
      </c>
      <c r="D20" t="n">
        <v>3</v>
      </c>
      <c r="E20" t="n">
        <v>135</v>
      </c>
      <c r="F20" t="n">
        <v>9000</v>
      </c>
      <c r="G20" t="n">
        <v>5</v>
      </c>
    </row>
    <row r="21">
      <c r="A21" t="inlineStr">
        <is>
          <t>Oil Power Plant|4</t>
        </is>
      </c>
      <c r="B21" t="inlineStr">
        <is>
          <t>Power</t>
        </is>
      </c>
      <c r="C21" t="inlineStr">
        <is>
          <t>Oil Power Plant</t>
        </is>
      </c>
      <c r="D21" t="n">
        <v>4</v>
      </c>
      <c r="E21" t="n">
        <v>180</v>
      </c>
      <c r="F21" t="n">
        <v>13000</v>
      </c>
      <c r="G21" t="n">
        <v>5</v>
      </c>
    </row>
    <row r="22">
      <c r="A22" t="inlineStr">
        <is>
          <t>Oil Power Plant|5</t>
        </is>
      </c>
      <c r="B22" t="inlineStr">
        <is>
          <t>Power</t>
        </is>
      </c>
      <c r="C22" t="inlineStr">
        <is>
          <t>Oil Power Plant</t>
        </is>
      </c>
      <c r="D22" t="n">
        <v>5</v>
      </c>
      <c r="E22" t="n">
        <v>270</v>
      </c>
      <c r="F22" t="n">
        <v>17500</v>
      </c>
      <c r="G22" t="n">
        <v>5</v>
      </c>
    </row>
    <row r="23">
      <c r="A23" t="inlineStr">
        <is>
          <t>Nuclear Power Plant|1</t>
        </is>
      </c>
      <c r="B23" t="inlineStr">
        <is>
          <t>Power</t>
        </is>
      </c>
      <c r="C23" t="inlineStr">
        <is>
          <t>Nuclear Power Plant</t>
        </is>
      </c>
      <c r="D23" t="n">
        <v>1</v>
      </c>
      <c r="E23" t="n">
        <v>90</v>
      </c>
      <c r="F23" t="n">
        <v>5000</v>
      </c>
      <c r="G23" t="n">
        <v>8</v>
      </c>
    </row>
    <row r="24">
      <c r="A24" t="inlineStr">
        <is>
          <t>Nuclear Power Plant|2</t>
        </is>
      </c>
      <c r="B24" t="inlineStr">
        <is>
          <t>Power</t>
        </is>
      </c>
      <c r="C24" t="inlineStr">
        <is>
          <t>Nuclear Power Plant</t>
        </is>
      </c>
      <c r="D24" t="n">
        <v>2</v>
      </c>
      <c r="E24" t="n">
        <v>225</v>
      </c>
      <c r="F24" t="n">
        <v>11500</v>
      </c>
      <c r="G24" t="n">
        <v>8</v>
      </c>
    </row>
    <row r="25">
      <c r="A25" t="inlineStr">
        <is>
          <t>Nuclear Power Plant|3</t>
        </is>
      </c>
      <c r="B25" t="inlineStr">
        <is>
          <t>Power</t>
        </is>
      </c>
      <c r="C25" t="inlineStr">
        <is>
          <t>Nuclear Power Plant</t>
        </is>
      </c>
      <c r="D25" t="n">
        <v>3</v>
      </c>
      <c r="E25" t="n">
        <v>315</v>
      </c>
      <c r="F25" t="n">
        <v>19500</v>
      </c>
      <c r="G25" t="n">
        <v>8</v>
      </c>
    </row>
    <row r="26">
      <c r="A26" t="inlineStr">
        <is>
          <t>Nuclear Power Plant|4</t>
        </is>
      </c>
      <c r="B26" t="inlineStr">
        <is>
          <t>Power</t>
        </is>
      </c>
      <c r="C26" t="inlineStr">
        <is>
          <t>Nuclear Power Plant</t>
        </is>
      </c>
      <c r="D26" t="n">
        <v>4</v>
      </c>
      <c r="E26" t="n">
        <v>405</v>
      </c>
      <c r="F26" t="n">
        <v>29000</v>
      </c>
      <c r="G26" t="n">
        <v>8</v>
      </c>
    </row>
    <row r="27">
      <c r="A27" t="inlineStr">
        <is>
          <t>Nuclear Power Plant|5</t>
        </is>
      </c>
      <c r="B27" t="inlineStr">
        <is>
          <t>Power</t>
        </is>
      </c>
      <c r="C27" t="inlineStr">
        <is>
          <t>Nuclear Power Plant</t>
        </is>
      </c>
      <c r="D27" t="n">
        <v>5</v>
      </c>
      <c r="E27" t="n">
        <v>495</v>
      </c>
      <c r="F27" t="n">
        <v>40000</v>
      </c>
      <c r="G27" t="n">
        <v>8</v>
      </c>
    </row>
    <row r="28">
      <c r="A28" t="inlineStr">
        <is>
          <t>Nuclear Power Plant|6</t>
        </is>
      </c>
      <c r="B28" t="inlineStr">
        <is>
          <t>Power</t>
        </is>
      </c>
      <c r="C28" t="inlineStr">
        <is>
          <t>Nuclear Power Plant</t>
        </is>
      </c>
      <c r="D28" t="n">
        <v>6</v>
      </c>
      <c r="E28" t="n">
        <v>585</v>
      </c>
      <c r="F28" t="n">
        <v>52500</v>
      </c>
      <c r="G28" t="n">
        <v>8</v>
      </c>
    </row>
    <row r="29">
      <c r="A29" t="inlineStr">
        <is>
          <t>Nuclear Power Plant|7</t>
        </is>
      </c>
      <c r="B29" t="inlineStr">
        <is>
          <t>Power</t>
        </is>
      </c>
      <c r="C29" t="inlineStr">
        <is>
          <t>Nuclear Power Plant</t>
        </is>
      </c>
      <c r="D29" t="n">
        <v>7</v>
      </c>
      <c r="E29" t="n">
        <v>675</v>
      </c>
      <c r="F29" t="n">
        <v>66500</v>
      </c>
      <c r="G29" t="n">
        <v>8</v>
      </c>
    </row>
    <row r="30">
      <c r="A30" t="inlineStr">
        <is>
          <t>Nuclear Power Plant|8</t>
        </is>
      </c>
      <c r="B30" t="inlineStr">
        <is>
          <t>Power</t>
        </is>
      </c>
      <c r="C30" t="inlineStr">
        <is>
          <t>Nuclear Power Plant</t>
        </is>
      </c>
      <c r="D30" t="n">
        <v>8</v>
      </c>
      <c r="E30" t="n">
        <v>810</v>
      </c>
      <c r="F30" t="n">
        <v>82500</v>
      </c>
      <c r="G30" t="n">
        <v>8</v>
      </c>
    </row>
    <row r="31">
      <c r="A31" t="inlineStr">
        <is>
          <t>Fusion Power Plant|1</t>
        </is>
      </c>
      <c r="B31" t="inlineStr">
        <is>
          <t>Power</t>
        </is>
      </c>
      <c r="C31" t="inlineStr">
        <is>
          <t>Fusion Power Plant</t>
        </is>
      </c>
      <c r="D31" t="n">
        <v>1</v>
      </c>
      <c r="E31" t="n">
        <v>450</v>
      </c>
      <c r="F31" t="n">
        <v>20000</v>
      </c>
      <c r="G31" t="n">
        <v>10</v>
      </c>
    </row>
    <row r="32">
      <c r="A32" t="inlineStr">
        <is>
          <t>Fusion Power Plant|2</t>
        </is>
      </c>
      <c r="B32" t="inlineStr">
        <is>
          <t>Power</t>
        </is>
      </c>
      <c r="C32" t="inlineStr">
        <is>
          <t>Fusion Power Plant</t>
        </is>
      </c>
      <c r="D32" t="n">
        <v>2</v>
      </c>
      <c r="E32" t="n">
        <v>765</v>
      </c>
      <c r="F32" t="n">
        <v>45000</v>
      </c>
      <c r="G32" t="n">
        <v>10</v>
      </c>
    </row>
    <row r="33">
      <c r="A33" t="inlineStr">
        <is>
          <t>Fusion Power Plant|3</t>
        </is>
      </c>
      <c r="B33" t="inlineStr">
        <is>
          <t>Power</t>
        </is>
      </c>
      <c r="C33" t="inlineStr">
        <is>
          <t>Fusion Power Plant</t>
        </is>
      </c>
      <c r="D33" t="n">
        <v>3</v>
      </c>
      <c r="E33" t="n">
        <v>1080</v>
      </c>
      <c r="F33" t="n">
        <v>75000</v>
      </c>
      <c r="G33" t="n">
        <v>10</v>
      </c>
    </row>
    <row r="34">
      <c r="A34" t="inlineStr">
        <is>
          <t>Fusion Power Plant|4</t>
        </is>
      </c>
      <c r="B34" t="inlineStr">
        <is>
          <t>Power</t>
        </is>
      </c>
      <c r="C34" t="inlineStr">
        <is>
          <t>Fusion Power Plant</t>
        </is>
      </c>
      <c r="D34" t="n">
        <v>4</v>
      </c>
      <c r="E34" t="n">
        <v>1350</v>
      </c>
      <c r="F34" t="n">
        <v>110000</v>
      </c>
      <c r="G34" t="n">
        <v>10</v>
      </c>
    </row>
    <row r="35">
      <c r="A35" t="inlineStr">
        <is>
          <t>Fusion Power Plant|5</t>
        </is>
      </c>
      <c r="B35" t="inlineStr">
        <is>
          <t>Power</t>
        </is>
      </c>
      <c r="C35" t="inlineStr">
        <is>
          <t>Fusion Power Plant</t>
        </is>
      </c>
      <c r="D35" t="n">
        <v>5</v>
      </c>
      <c r="E35" t="n">
        <v>1575</v>
      </c>
      <c r="F35" t="n">
        <v>150000</v>
      </c>
      <c r="G35" t="n">
        <v>10</v>
      </c>
    </row>
    <row r="36">
      <c r="A36" t="inlineStr">
        <is>
          <t>Fusion Power Plant|6</t>
        </is>
      </c>
      <c r="B36" t="inlineStr">
        <is>
          <t>Power</t>
        </is>
      </c>
      <c r="C36" t="inlineStr">
        <is>
          <t>Fusion Power Plant</t>
        </is>
      </c>
      <c r="D36" t="n">
        <v>6</v>
      </c>
      <c r="E36" t="n">
        <v>1710</v>
      </c>
      <c r="F36" t="n">
        <v>195000</v>
      </c>
      <c r="G36" t="n">
        <v>10</v>
      </c>
    </row>
    <row r="37">
      <c r="A37" t="inlineStr">
        <is>
          <t>Fusion Power Plant|7</t>
        </is>
      </c>
      <c r="B37" t="inlineStr">
        <is>
          <t>Power</t>
        </is>
      </c>
      <c r="C37" t="inlineStr">
        <is>
          <t>Fusion Power Plant</t>
        </is>
      </c>
      <c r="D37" t="n">
        <v>7</v>
      </c>
      <c r="E37" t="n">
        <v>1845</v>
      </c>
      <c r="F37" t="n">
        <v>245000</v>
      </c>
      <c r="G37" t="n">
        <v>10</v>
      </c>
    </row>
    <row r="38">
      <c r="A38" t="inlineStr">
        <is>
          <t>Fusion Power Plant|8</t>
        </is>
      </c>
      <c r="B38" t="inlineStr">
        <is>
          <t>Power</t>
        </is>
      </c>
      <c r="C38" t="inlineStr">
        <is>
          <t>Fusion Power Plant</t>
        </is>
      </c>
      <c r="D38" t="n">
        <v>8</v>
      </c>
      <c r="E38" t="n">
        <v>1980</v>
      </c>
      <c r="F38" t="n">
        <v>300000</v>
      </c>
      <c r="G38" t="n">
        <v>10</v>
      </c>
    </row>
    <row r="39">
      <c r="A39" t="inlineStr">
        <is>
          <t>Fusion Power Plant|9</t>
        </is>
      </c>
      <c r="B39" t="inlineStr">
        <is>
          <t>Power</t>
        </is>
      </c>
      <c r="C39" t="inlineStr">
        <is>
          <t>Fusion Power Plant</t>
        </is>
      </c>
      <c r="D39" t="n">
        <v>9</v>
      </c>
      <c r="E39" t="n">
        <v>2070</v>
      </c>
      <c r="F39" t="n">
        <v>360000</v>
      </c>
      <c r="G39" t="n">
        <v>10</v>
      </c>
    </row>
    <row r="40">
      <c r="A40" t="inlineStr">
        <is>
          <t>Fusion Power Plant|10</t>
        </is>
      </c>
      <c r="B40" t="inlineStr">
        <is>
          <t>Power</t>
        </is>
      </c>
      <c r="C40" t="inlineStr">
        <is>
          <t>Fusion Power Plant</t>
        </is>
      </c>
      <c r="D40" t="n">
        <v>10</v>
      </c>
      <c r="E40" t="n">
        <v>2250</v>
      </c>
      <c r="F40" t="n">
        <v>425000</v>
      </c>
      <c r="G40" t="n">
        <v>10</v>
      </c>
    </row>
    <row r="41">
      <c r="A41" t="inlineStr">
        <is>
          <t>Omega Power Plant|1</t>
        </is>
      </c>
      <c r="B41" t="inlineStr">
        <is>
          <t>Power</t>
        </is>
      </c>
      <c r="C41" t="inlineStr">
        <is>
          <t>Omega Power Plant</t>
        </is>
      </c>
      <c r="D41" t="n">
        <v>1</v>
      </c>
      <c r="E41" t="n">
        <v>675</v>
      </c>
      <c r="F41" t="n">
        <v>10000</v>
      </c>
      <c r="G41" t="n">
        <v>10</v>
      </c>
    </row>
    <row r="42">
      <c r="A42" t="inlineStr">
        <is>
          <t>Omega Power Plant|2</t>
        </is>
      </c>
      <c r="B42" t="inlineStr">
        <is>
          <t>Power</t>
        </is>
      </c>
      <c r="C42" t="inlineStr">
        <is>
          <t>Omega Power Plant</t>
        </is>
      </c>
      <c r="D42" t="n">
        <v>2</v>
      </c>
      <c r="E42" t="n">
        <v>1350</v>
      </c>
      <c r="F42" t="n">
        <v>25000</v>
      </c>
      <c r="G42" t="n">
        <v>10</v>
      </c>
    </row>
    <row r="43">
      <c r="A43" t="inlineStr">
        <is>
          <t>Omega Power Plant|3</t>
        </is>
      </c>
      <c r="B43" t="inlineStr">
        <is>
          <t>Power</t>
        </is>
      </c>
      <c r="C43" t="inlineStr">
        <is>
          <t>Omega Power Plant</t>
        </is>
      </c>
      <c r="D43" t="n">
        <v>3</v>
      </c>
      <c r="E43" t="n">
        <v>2025</v>
      </c>
      <c r="F43" t="n">
        <v>45000</v>
      </c>
      <c r="G43" t="n">
        <v>10</v>
      </c>
    </row>
    <row r="44">
      <c r="A44" t="inlineStr">
        <is>
          <t>Omega Power Plant|4</t>
        </is>
      </c>
      <c r="B44" t="inlineStr">
        <is>
          <t>Power</t>
        </is>
      </c>
      <c r="C44" t="inlineStr">
        <is>
          <t>Omega Power Plant</t>
        </is>
      </c>
      <c r="D44" t="n">
        <v>4</v>
      </c>
      <c r="E44" t="n">
        <v>2700</v>
      </c>
      <c r="F44" t="n">
        <v>70000</v>
      </c>
      <c r="G44" t="n">
        <v>10</v>
      </c>
    </row>
    <row r="45">
      <c r="A45" t="inlineStr">
        <is>
          <t>Omega Power Plant|5</t>
        </is>
      </c>
      <c r="B45" t="inlineStr">
        <is>
          <t>Power</t>
        </is>
      </c>
      <c r="C45" t="inlineStr">
        <is>
          <t>Omega Power Plant</t>
        </is>
      </c>
      <c r="D45" t="n">
        <v>5</v>
      </c>
      <c r="E45" t="n">
        <v>3150</v>
      </c>
      <c r="F45" t="n">
        <v>100000</v>
      </c>
      <c r="G45" t="n">
        <v>10</v>
      </c>
    </row>
    <row r="46">
      <c r="A46" t="inlineStr">
        <is>
          <t>Omega Power Plant|6</t>
        </is>
      </c>
      <c r="B46" t="inlineStr">
        <is>
          <t>Power</t>
        </is>
      </c>
      <c r="C46" t="inlineStr">
        <is>
          <t>Omega Power Plant</t>
        </is>
      </c>
      <c r="D46" t="n">
        <v>6</v>
      </c>
      <c r="E46" t="n">
        <v>3600</v>
      </c>
      <c r="F46" t="n">
        <v>135000</v>
      </c>
      <c r="G46" t="n">
        <v>10</v>
      </c>
    </row>
    <row r="47">
      <c r="A47" t="inlineStr">
        <is>
          <t>Omega Power Plant|7</t>
        </is>
      </c>
      <c r="B47" t="inlineStr">
        <is>
          <t>Power</t>
        </is>
      </c>
      <c r="C47" t="inlineStr">
        <is>
          <t>Omega Power Plant</t>
        </is>
      </c>
      <c r="D47" t="n">
        <v>7</v>
      </c>
      <c r="E47" t="n">
        <v>4050</v>
      </c>
      <c r="F47" t="n">
        <v>172500</v>
      </c>
      <c r="G47" t="n">
        <v>10</v>
      </c>
    </row>
    <row r="48">
      <c r="A48" t="inlineStr">
        <is>
          <t>Omega Power Plant|8</t>
        </is>
      </c>
      <c r="B48" t="inlineStr">
        <is>
          <t>Power</t>
        </is>
      </c>
      <c r="C48" t="inlineStr">
        <is>
          <t>Omega Power Plant</t>
        </is>
      </c>
      <c r="D48" t="n">
        <v>8</v>
      </c>
      <c r="E48" t="n">
        <v>4500</v>
      </c>
      <c r="F48" t="n">
        <v>212500</v>
      </c>
      <c r="G48" t="n">
        <v>10</v>
      </c>
    </row>
    <row r="49">
      <c r="A49" t="inlineStr">
        <is>
          <t>Omega Power Plant|9</t>
        </is>
      </c>
      <c r="B49" t="inlineStr">
        <is>
          <t>Power</t>
        </is>
      </c>
      <c r="C49" t="inlineStr">
        <is>
          <t>Omega Power Plant</t>
        </is>
      </c>
      <c r="D49" t="n">
        <v>9</v>
      </c>
      <c r="E49" t="n">
        <v>5050</v>
      </c>
      <c r="F49" t="n">
        <v>255000</v>
      </c>
      <c r="G49" t="n">
        <v>10</v>
      </c>
    </row>
    <row r="50">
      <c r="A50" t="inlineStr">
        <is>
          <t>Omega Power Plant|10</t>
        </is>
      </c>
      <c r="B50" t="inlineStr">
        <is>
          <t>Power</t>
        </is>
      </c>
      <c r="C50" t="inlineStr">
        <is>
          <t>Omega Power Plant</t>
        </is>
      </c>
      <c r="D50" t="n">
        <v>10</v>
      </c>
      <c r="E50" t="n">
        <v>5600</v>
      </c>
      <c r="F50" t="n">
        <v>300000</v>
      </c>
      <c r="G50" t="n">
        <v>10</v>
      </c>
    </row>
    <row r="51">
      <c r="A51" t="inlineStr">
        <is>
          <t>Basic Water Tower|1</t>
        </is>
      </c>
      <c r="B51" t="inlineStr">
        <is>
          <t>Water</t>
        </is>
      </c>
      <c r="C51" t="inlineStr">
        <is>
          <t>Basic Water Tower</t>
        </is>
      </c>
      <c r="D51" t="n">
        <v>1</v>
      </c>
      <c r="E51" t="n">
        <v>10</v>
      </c>
      <c r="F51" t="n">
        <v>4000</v>
      </c>
      <c r="G51" t="n">
        <v>3</v>
      </c>
    </row>
    <row r="52">
      <c r="A52" t="inlineStr">
        <is>
          <t>Basic Water Tower|2</t>
        </is>
      </c>
      <c r="B52" t="inlineStr">
        <is>
          <t>Water</t>
        </is>
      </c>
      <c r="C52" t="inlineStr">
        <is>
          <t>Basic Water Tower</t>
        </is>
      </c>
      <c r="D52" t="n">
        <v>2</v>
      </c>
      <c r="E52" t="n">
        <v>30</v>
      </c>
      <c r="F52" t="n">
        <v>8500</v>
      </c>
      <c r="G52" t="n">
        <v>3</v>
      </c>
    </row>
    <row r="53">
      <c r="A53" t="inlineStr">
        <is>
          <t>Basic Water Tower|3</t>
        </is>
      </c>
      <c r="B53" t="inlineStr">
        <is>
          <t>Water</t>
        </is>
      </c>
      <c r="C53" t="inlineStr">
        <is>
          <t>Basic Water Tower</t>
        </is>
      </c>
      <c r="D53" t="n">
        <v>3</v>
      </c>
      <c r="E53" t="n">
        <v>70</v>
      </c>
      <c r="F53" t="n">
        <v>13500</v>
      </c>
      <c r="G53" t="n">
        <v>3</v>
      </c>
    </row>
    <row r="54">
      <c r="A54" t="inlineStr">
        <is>
          <t>Water Pumping Station|1</t>
        </is>
      </c>
      <c r="B54" t="inlineStr">
        <is>
          <t>Water</t>
        </is>
      </c>
      <c r="C54" t="inlineStr">
        <is>
          <t>Water Pumping Station</t>
        </is>
      </c>
      <c r="D54" t="n">
        <v>1</v>
      </c>
      <c r="E54" t="n">
        <v>45</v>
      </c>
      <c r="F54" t="n">
        <v>7500</v>
      </c>
      <c r="G54" t="n">
        <v>5</v>
      </c>
    </row>
    <row r="55">
      <c r="A55" t="inlineStr">
        <is>
          <t>Water Pumping Station|2</t>
        </is>
      </c>
      <c r="B55" t="inlineStr">
        <is>
          <t>Water</t>
        </is>
      </c>
      <c r="C55" t="inlineStr">
        <is>
          <t>Water Pumping Station</t>
        </is>
      </c>
      <c r="D55" t="n">
        <v>2</v>
      </c>
      <c r="E55" t="n">
        <v>135</v>
      </c>
      <c r="F55" t="n">
        <v>17500</v>
      </c>
      <c r="G55" t="n">
        <v>5</v>
      </c>
    </row>
    <row r="56">
      <c r="A56" t="inlineStr">
        <is>
          <t>Water Pumping Station|3</t>
        </is>
      </c>
      <c r="B56" t="inlineStr">
        <is>
          <t>Water</t>
        </is>
      </c>
      <c r="C56" t="inlineStr">
        <is>
          <t>Water Pumping Station</t>
        </is>
      </c>
      <c r="D56" t="n">
        <v>3</v>
      </c>
      <c r="E56" t="n">
        <v>225</v>
      </c>
      <c r="F56" t="n">
        <v>30000</v>
      </c>
      <c r="G56" t="n">
        <v>5</v>
      </c>
    </row>
    <row r="57">
      <c r="A57" t="inlineStr">
        <is>
          <t>Water Pumping Station|4</t>
        </is>
      </c>
      <c r="B57" t="inlineStr">
        <is>
          <t>Water</t>
        </is>
      </c>
      <c r="C57" t="inlineStr">
        <is>
          <t>Water Pumping Station</t>
        </is>
      </c>
      <c r="D57" t="n">
        <v>4</v>
      </c>
      <c r="E57" t="n">
        <v>315</v>
      </c>
      <c r="F57" t="n">
        <v>45000</v>
      </c>
      <c r="G57" t="n">
        <v>5</v>
      </c>
    </row>
    <row r="58">
      <c r="A58" t="inlineStr">
        <is>
          <t>Water Pumping Station|5</t>
        </is>
      </c>
      <c r="B58" t="inlineStr">
        <is>
          <t>Water</t>
        </is>
      </c>
      <c r="C58" t="inlineStr">
        <is>
          <t>Water Pumping Station</t>
        </is>
      </c>
      <c r="D58" t="n">
        <v>5</v>
      </c>
      <c r="E58" t="n">
        <v>450</v>
      </c>
      <c r="F58" t="n">
        <v>65000</v>
      </c>
      <c r="G58" t="n">
        <v>5</v>
      </c>
    </row>
    <row r="59">
      <c r="A59" t="inlineStr">
        <is>
          <t>Saltwater Treatment Plant|1</t>
        </is>
      </c>
      <c r="B59" t="inlineStr">
        <is>
          <t>Water</t>
        </is>
      </c>
      <c r="C59" t="inlineStr">
        <is>
          <t>Saltwater Treatment Plant</t>
        </is>
      </c>
      <c r="D59" t="n">
        <v>1</v>
      </c>
      <c r="E59" t="n">
        <v>90</v>
      </c>
      <c r="F59" t="n">
        <v>10000</v>
      </c>
      <c r="G59" t="n">
        <v>8</v>
      </c>
    </row>
    <row r="60">
      <c r="A60" t="inlineStr">
        <is>
          <t>Saltwater Treatment Plant|2</t>
        </is>
      </c>
      <c r="B60" t="inlineStr">
        <is>
          <t>Water</t>
        </is>
      </c>
      <c r="C60" t="inlineStr">
        <is>
          <t>Saltwater Treatment Plant</t>
        </is>
      </c>
      <c r="D60" t="n">
        <v>2</v>
      </c>
      <c r="E60" t="n">
        <v>160</v>
      </c>
      <c r="F60" t="n">
        <v>23000</v>
      </c>
      <c r="G60" t="n">
        <v>8</v>
      </c>
    </row>
    <row r="61">
      <c r="A61" t="inlineStr">
        <is>
          <t>Saltwater Treatment Plant|3</t>
        </is>
      </c>
      <c r="B61" t="inlineStr">
        <is>
          <t>Water</t>
        </is>
      </c>
      <c r="C61" t="inlineStr">
        <is>
          <t>Saltwater Treatment Plant</t>
        </is>
      </c>
      <c r="D61" t="n">
        <v>3</v>
      </c>
      <c r="E61" t="n">
        <v>250</v>
      </c>
      <c r="F61" t="n">
        <v>39000</v>
      </c>
      <c r="G61" t="n">
        <v>8</v>
      </c>
    </row>
    <row r="62">
      <c r="A62" t="inlineStr">
        <is>
          <t>Saltwater Treatment Plant|4</t>
        </is>
      </c>
      <c r="B62" t="inlineStr">
        <is>
          <t>Water</t>
        </is>
      </c>
      <c r="C62" t="inlineStr">
        <is>
          <t>Saltwater Treatment Plant</t>
        </is>
      </c>
      <c r="D62" t="n">
        <v>4</v>
      </c>
      <c r="E62" t="n">
        <v>360</v>
      </c>
      <c r="F62" t="n">
        <v>58000</v>
      </c>
      <c r="G62" t="n">
        <v>8</v>
      </c>
    </row>
    <row r="63">
      <c r="A63" t="inlineStr">
        <is>
          <t>Saltwater Treatment Plant|5</t>
        </is>
      </c>
      <c r="B63" t="inlineStr">
        <is>
          <t>Water</t>
        </is>
      </c>
      <c r="C63" t="inlineStr">
        <is>
          <t>Saltwater Treatment Plant</t>
        </is>
      </c>
      <c r="D63" t="n">
        <v>5</v>
      </c>
      <c r="E63" t="n">
        <v>470</v>
      </c>
      <c r="F63" t="n">
        <v>79000</v>
      </c>
      <c r="G63" t="n">
        <v>8</v>
      </c>
    </row>
    <row r="64">
      <c r="A64" t="inlineStr">
        <is>
          <t>Saltwater Treatment Plant|6</t>
        </is>
      </c>
      <c r="B64" t="inlineStr">
        <is>
          <t>Water</t>
        </is>
      </c>
      <c r="C64" t="inlineStr">
        <is>
          <t>Saltwater Treatment Plant</t>
        </is>
      </c>
      <c r="D64" t="n">
        <v>6</v>
      </c>
      <c r="E64" t="n">
        <v>585</v>
      </c>
      <c r="F64" t="n">
        <v>102000</v>
      </c>
      <c r="G64" t="n">
        <v>8</v>
      </c>
    </row>
    <row r="65">
      <c r="A65" t="inlineStr">
        <is>
          <t>Saltwater Treatment Plant|7</t>
        </is>
      </c>
      <c r="B65" t="inlineStr">
        <is>
          <t>Water</t>
        </is>
      </c>
      <c r="C65" t="inlineStr">
        <is>
          <t>Saltwater Treatment Plant</t>
        </is>
      </c>
      <c r="D65" t="n">
        <v>7</v>
      </c>
      <c r="E65" t="n">
        <v>700</v>
      </c>
      <c r="F65" t="n">
        <v>127000</v>
      </c>
      <c r="G65" t="n">
        <v>8</v>
      </c>
    </row>
    <row r="66">
      <c r="A66" t="inlineStr">
        <is>
          <t>Saltwater Treatment Plant|8</t>
        </is>
      </c>
      <c r="B66" t="inlineStr">
        <is>
          <t>Water</t>
        </is>
      </c>
      <c r="C66" t="inlineStr">
        <is>
          <t>Saltwater Treatment Plant</t>
        </is>
      </c>
      <c r="D66" t="n">
        <v>8</v>
      </c>
      <c r="E66" t="n">
        <v>810</v>
      </c>
      <c r="F66" t="n">
        <v>154000</v>
      </c>
      <c r="G66" t="n">
        <v>8</v>
      </c>
    </row>
    <row r="67">
      <c r="A67" t="inlineStr">
        <is>
          <t>Fresh Water Pumping Station|1</t>
        </is>
      </c>
      <c r="B67" t="inlineStr">
        <is>
          <t>Water</t>
        </is>
      </c>
      <c r="C67" t="inlineStr">
        <is>
          <t>Fresh Water Pumping Station</t>
        </is>
      </c>
      <c r="D67" t="n">
        <v>1</v>
      </c>
      <c r="E67" t="n">
        <v>180</v>
      </c>
      <c r="F67" t="n">
        <v>16000</v>
      </c>
      <c r="G67" t="n">
        <v>10</v>
      </c>
    </row>
    <row r="68">
      <c r="A68" t="inlineStr">
        <is>
          <t>Fresh Water Pumping Station|2</t>
        </is>
      </c>
      <c r="B68" t="inlineStr">
        <is>
          <t>Water</t>
        </is>
      </c>
      <c r="C68" t="inlineStr">
        <is>
          <t>Fresh Water Pumping Station</t>
        </is>
      </c>
      <c r="D68" t="n">
        <v>2</v>
      </c>
      <c r="E68" t="n">
        <v>360</v>
      </c>
      <c r="F68" t="n">
        <v>35500</v>
      </c>
      <c r="G68" t="n">
        <v>10</v>
      </c>
    </row>
    <row r="69">
      <c r="A69" t="inlineStr">
        <is>
          <t>Fresh Water Pumping Station|3</t>
        </is>
      </c>
      <c r="B69" t="inlineStr">
        <is>
          <t>Water</t>
        </is>
      </c>
      <c r="C69" t="inlineStr">
        <is>
          <t>Fresh Water Pumping Station</t>
        </is>
      </c>
      <c r="D69" t="n">
        <v>3</v>
      </c>
      <c r="E69" t="n">
        <v>500</v>
      </c>
      <c r="F69" t="n">
        <v>58500</v>
      </c>
      <c r="G69" t="n">
        <v>10</v>
      </c>
    </row>
    <row r="70">
      <c r="A70" t="inlineStr">
        <is>
          <t>Fresh Water Pumping Station|4</t>
        </is>
      </c>
      <c r="B70" t="inlineStr">
        <is>
          <t>Water</t>
        </is>
      </c>
      <c r="C70" t="inlineStr">
        <is>
          <t>Fresh Water Pumping Station</t>
        </is>
      </c>
      <c r="D70" t="n">
        <v>4</v>
      </c>
      <c r="E70" t="n">
        <v>630</v>
      </c>
      <c r="F70" t="n">
        <v>85000</v>
      </c>
      <c r="G70" t="n">
        <v>10</v>
      </c>
    </row>
    <row r="71">
      <c r="A71" t="inlineStr">
        <is>
          <t>Fresh Water Pumping Station|5</t>
        </is>
      </c>
      <c r="B71" t="inlineStr">
        <is>
          <t>Water</t>
        </is>
      </c>
      <c r="C71" t="inlineStr">
        <is>
          <t>Fresh Water Pumping Station</t>
        </is>
      </c>
      <c r="D71" t="n">
        <v>5</v>
      </c>
      <c r="E71" t="n">
        <v>720</v>
      </c>
      <c r="F71" t="n">
        <v>115000</v>
      </c>
      <c r="G71" t="n">
        <v>10</v>
      </c>
    </row>
    <row r="72">
      <c r="A72" t="inlineStr">
        <is>
          <t>Fresh Water Pumping Station|6</t>
        </is>
      </c>
      <c r="B72" t="inlineStr">
        <is>
          <t>Water</t>
        </is>
      </c>
      <c r="C72" t="inlineStr">
        <is>
          <t>Fresh Water Pumping Station</t>
        </is>
      </c>
      <c r="D72" t="n">
        <v>6</v>
      </c>
      <c r="E72" t="n">
        <v>810</v>
      </c>
      <c r="F72" t="n">
        <v>148500</v>
      </c>
      <c r="G72" t="n">
        <v>10</v>
      </c>
    </row>
    <row r="73">
      <c r="A73" t="inlineStr">
        <is>
          <t>Fresh Water Pumping Station|7</t>
        </is>
      </c>
      <c r="B73" t="inlineStr">
        <is>
          <t>Water</t>
        </is>
      </c>
      <c r="C73" t="inlineStr">
        <is>
          <t>Fresh Water Pumping Station</t>
        </is>
      </c>
      <c r="D73" t="n">
        <v>7</v>
      </c>
      <c r="E73" t="n">
        <v>900</v>
      </c>
      <c r="F73" t="n">
        <v>185500</v>
      </c>
      <c r="G73" t="n">
        <v>10</v>
      </c>
    </row>
    <row r="74">
      <c r="A74" t="inlineStr">
        <is>
          <t>Fresh Water Pumping Station|8</t>
        </is>
      </c>
      <c r="B74" t="inlineStr">
        <is>
          <t>Water</t>
        </is>
      </c>
      <c r="C74" t="inlineStr">
        <is>
          <t>Fresh Water Pumping Station</t>
        </is>
      </c>
      <c r="D74" t="n">
        <v>8</v>
      </c>
      <c r="E74" t="n">
        <v>990</v>
      </c>
      <c r="F74" t="n">
        <v>226000</v>
      </c>
      <c r="G74" t="n">
        <v>10</v>
      </c>
    </row>
    <row r="75">
      <c r="A75" t="inlineStr">
        <is>
          <t>Fresh Water Pumping Station|9</t>
        </is>
      </c>
      <c r="B75" t="inlineStr">
        <is>
          <t>Water</t>
        </is>
      </c>
      <c r="C75" t="inlineStr">
        <is>
          <t>Fresh Water Pumping Station</t>
        </is>
      </c>
      <c r="D75" t="n">
        <v>9</v>
      </c>
      <c r="E75" t="n">
        <v>1080</v>
      </c>
      <c r="F75" t="n">
        <v>270000</v>
      </c>
      <c r="G75" t="n">
        <v>10</v>
      </c>
    </row>
    <row r="76">
      <c r="A76" t="inlineStr">
        <is>
          <t>Fresh Water Pumping Station|10</t>
        </is>
      </c>
      <c r="B76" t="inlineStr">
        <is>
          <t>Water</t>
        </is>
      </c>
      <c r="C76" t="inlineStr">
        <is>
          <t>Fresh Water Pumping Station</t>
        </is>
      </c>
      <c r="D76" t="n">
        <v>10</v>
      </c>
      <c r="E76" t="n">
        <v>1350</v>
      </c>
      <c r="F76" t="n">
        <v>315000</v>
      </c>
      <c r="G76" t="n">
        <v>10</v>
      </c>
    </row>
    <row r="77">
      <c r="A77" t="inlineStr">
        <is>
          <t>Omega Water Tower|1</t>
        </is>
      </c>
      <c r="B77" t="inlineStr">
        <is>
          <t>Water</t>
        </is>
      </c>
      <c r="C77" t="inlineStr">
        <is>
          <t>Omega Water Tower</t>
        </is>
      </c>
      <c r="D77" t="n">
        <v>1</v>
      </c>
      <c r="E77" t="n">
        <v>675</v>
      </c>
      <c r="F77" t="n">
        <v>10000</v>
      </c>
      <c r="G77" t="n">
        <v>10</v>
      </c>
    </row>
    <row r="78">
      <c r="A78" t="inlineStr">
        <is>
          <t>Omega Water Tower|2</t>
        </is>
      </c>
      <c r="B78" t="inlineStr">
        <is>
          <t>Water</t>
        </is>
      </c>
      <c r="C78" t="inlineStr">
        <is>
          <t>Omega Water Tower</t>
        </is>
      </c>
      <c r="D78" t="n">
        <v>2</v>
      </c>
      <c r="E78" t="n">
        <v>1350</v>
      </c>
      <c r="F78" t="n">
        <v>25000</v>
      </c>
      <c r="G78" t="n">
        <v>10</v>
      </c>
    </row>
    <row r="79">
      <c r="A79" t="inlineStr">
        <is>
          <t>Omega Water Tower|3</t>
        </is>
      </c>
      <c r="B79" t="inlineStr">
        <is>
          <t>Water</t>
        </is>
      </c>
      <c r="C79" t="inlineStr">
        <is>
          <t>Omega Water Tower</t>
        </is>
      </c>
      <c r="D79" t="n">
        <v>3</v>
      </c>
      <c r="E79" t="n">
        <v>2025</v>
      </c>
      <c r="F79" t="n">
        <v>45000</v>
      </c>
      <c r="G79" t="n">
        <v>10</v>
      </c>
    </row>
    <row r="80">
      <c r="A80" t="inlineStr">
        <is>
          <t>Omega Water Tower|4</t>
        </is>
      </c>
      <c r="B80" t="inlineStr">
        <is>
          <t>Water</t>
        </is>
      </c>
      <c r="C80" t="inlineStr">
        <is>
          <t>Omega Water Tower</t>
        </is>
      </c>
      <c r="D80" t="n">
        <v>4</v>
      </c>
      <c r="E80" t="n">
        <v>2700</v>
      </c>
      <c r="F80" t="n">
        <v>70000</v>
      </c>
      <c r="G80" t="n">
        <v>10</v>
      </c>
    </row>
    <row r="81">
      <c r="A81" t="inlineStr">
        <is>
          <t>Omega Water Tower|5</t>
        </is>
      </c>
      <c r="B81" t="inlineStr">
        <is>
          <t>Water</t>
        </is>
      </c>
      <c r="C81" t="inlineStr">
        <is>
          <t>Omega Water Tower</t>
        </is>
      </c>
      <c r="D81" t="n">
        <v>5</v>
      </c>
      <c r="E81" t="n">
        <v>3150</v>
      </c>
      <c r="F81" t="n">
        <v>100000</v>
      </c>
      <c r="G81" t="n">
        <v>10</v>
      </c>
    </row>
    <row r="82">
      <c r="A82" t="inlineStr">
        <is>
          <t>Omega Water Tower|6</t>
        </is>
      </c>
      <c r="B82" t="inlineStr">
        <is>
          <t>Water</t>
        </is>
      </c>
      <c r="C82" t="inlineStr">
        <is>
          <t>Omega Water Tower</t>
        </is>
      </c>
      <c r="D82" t="n">
        <v>6</v>
      </c>
      <c r="E82" t="n">
        <v>3600</v>
      </c>
      <c r="F82" t="n">
        <v>135000</v>
      </c>
      <c r="G82" t="n">
        <v>10</v>
      </c>
    </row>
    <row r="83">
      <c r="A83" t="inlineStr">
        <is>
          <t>Omega Water Tower|7</t>
        </is>
      </c>
      <c r="B83" t="inlineStr">
        <is>
          <t>Water</t>
        </is>
      </c>
      <c r="C83" t="inlineStr">
        <is>
          <t>Omega Water Tower</t>
        </is>
      </c>
      <c r="D83" t="n">
        <v>7</v>
      </c>
      <c r="E83" t="n">
        <v>4050</v>
      </c>
      <c r="F83" t="n">
        <v>172500</v>
      </c>
      <c r="G83" t="n">
        <v>10</v>
      </c>
    </row>
    <row r="84">
      <c r="A84" t="inlineStr">
        <is>
          <t>Omega Water Tower|8</t>
        </is>
      </c>
      <c r="B84" t="inlineStr">
        <is>
          <t>Water</t>
        </is>
      </c>
      <c r="C84" t="inlineStr">
        <is>
          <t>Omega Water Tower</t>
        </is>
      </c>
      <c r="D84" t="n">
        <v>8</v>
      </c>
      <c r="E84" t="n">
        <v>4500</v>
      </c>
      <c r="F84" t="n">
        <v>212500</v>
      </c>
      <c r="G84" t="n">
        <v>10</v>
      </c>
    </row>
    <row r="85">
      <c r="A85" t="inlineStr">
        <is>
          <t>Omega Water Tower|9</t>
        </is>
      </c>
      <c r="B85" t="inlineStr">
        <is>
          <t>Water</t>
        </is>
      </c>
      <c r="C85" t="inlineStr">
        <is>
          <t>Omega Water Tower</t>
        </is>
      </c>
      <c r="D85" t="n">
        <v>9</v>
      </c>
      <c r="E85" t="n">
        <v>5050</v>
      </c>
      <c r="F85" t="n">
        <v>255000</v>
      </c>
      <c r="G85" t="n">
        <v>10</v>
      </c>
    </row>
    <row r="86">
      <c r="A86" t="inlineStr">
        <is>
          <t>Omega Water Tower|10</t>
        </is>
      </c>
      <c r="B86" t="inlineStr">
        <is>
          <t>Water</t>
        </is>
      </c>
      <c r="C86" t="inlineStr">
        <is>
          <t>Omega Water Tower</t>
        </is>
      </c>
      <c r="D86" t="n">
        <v>10</v>
      </c>
      <c r="E86" t="n">
        <v>5600</v>
      </c>
      <c r="F86" t="n">
        <v>300000</v>
      </c>
      <c r="G86" t="n">
        <v>10</v>
      </c>
    </row>
    <row r="87">
      <c r="A87" t="inlineStr">
        <is>
          <t>Small Sewage Outflow Pipe|1</t>
        </is>
      </c>
      <c r="B87" t="inlineStr">
        <is>
          <t>Sewage</t>
        </is>
      </c>
      <c r="C87" t="inlineStr">
        <is>
          <t>Small Sewage Outflow Pipe</t>
        </is>
      </c>
      <c r="D87" t="n">
        <v>1</v>
      </c>
      <c r="E87" t="n">
        <v>55</v>
      </c>
      <c r="F87" t="n">
        <v>3000</v>
      </c>
      <c r="G87" t="n">
        <v>5</v>
      </c>
    </row>
    <row r="88">
      <c r="A88" t="inlineStr">
        <is>
          <t>Small Sewage Outflow Pipe|2</t>
        </is>
      </c>
      <c r="B88" t="inlineStr">
        <is>
          <t>Sewage</t>
        </is>
      </c>
      <c r="C88" t="inlineStr">
        <is>
          <t>Small Sewage Outflow Pipe</t>
        </is>
      </c>
      <c r="D88" t="n">
        <v>2</v>
      </c>
      <c r="E88" t="n">
        <v>90</v>
      </c>
      <c r="F88" t="n">
        <v>6500</v>
      </c>
      <c r="G88" t="n">
        <v>5</v>
      </c>
    </row>
    <row r="89">
      <c r="A89" t="inlineStr">
        <is>
          <t>Small Sewage Outflow Pipe|3</t>
        </is>
      </c>
      <c r="B89" t="inlineStr">
        <is>
          <t>Sewage</t>
        </is>
      </c>
      <c r="C89" t="inlineStr">
        <is>
          <t>Small Sewage Outflow Pipe</t>
        </is>
      </c>
      <c r="D89" t="n">
        <v>3</v>
      </c>
      <c r="E89" t="n">
        <v>135</v>
      </c>
      <c r="F89" t="n">
        <v>11000</v>
      </c>
      <c r="G89" t="n">
        <v>5</v>
      </c>
    </row>
    <row r="90">
      <c r="A90" t="inlineStr">
        <is>
          <t>Small Sewage Outflow Pipe|4</t>
        </is>
      </c>
      <c r="B90" t="inlineStr">
        <is>
          <t>Sewage</t>
        </is>
      </c>
      <c r="C90" t="inlineStr">
        <is>
          <t>Small Sewage Outflow Pipe</t>
        </is>
      </c>
      <c r="D90" t="n">
        <v>4</v>
      </c>
      <c r="E90" t="n">
        <v>160</v>
      </c>
      <c r="F90" t="n">
        <v>16000</v>
      </c>
      <c r="G90" t="n">
        <v>5</v>
      </c>
    </row>
    <row r="91">
      <c r="A91" t="inlineStr">
        <is>
          <t>Small Sewage Outflow Pipe|5</t>
        </is>
      </c>
      <c r="B91" t="inlineStr">
        <is>
          <t>Sewage</t>
        </is>
      </c>
      <c r="C91" t="inlineStr">
        <is>
          <t>Small Sewage Outflow Pipe</t>
        </is>
      </c>
      <c r="D91" t="n">
        <v>5</v>
      </c>
      <c r="E91" t="n">
        <v>180</v>
      </c>
      <c r="F91" t="n">
        <v>22000</v>
      </c>
      <c r="G91" t="n">
        <v>5</v>
      </c>
    </row>
    <row r="92">
      <c r="A92" t="inlineStr">
        <is>
          <t>Basic Sewage Outflow Pipe|1</t>
        </is>
      </c>
      <c r="B92" t="inlineStr">
        <is>
          <t>Sewage</t>
        </is>
      </c>
      <c r="C92" t="inlineStr">
        <is>
          <t>Basic Sewage Outflow Pipe</t>
        </is>
      </c>
      <c r="D92" t="n">
        <v>1</v>
      </c>
      <c r="E92" t="n">
        <v>90</v>
      </c>
      <c r="F92" t="n">
        <v>4000</v>
      </c>
      <c r="G92" t="n">
        <v>8</v>
      </c>
    </row>
    <row r="93">
      <c r="A93" t="inlineStr">
        <is>
          <t>Basic Sewage Outflow Pipe|2</t>
        </is>
      </c>
      <c r="B93" t="inlineStr">
        <is>
          <t>Sewage</t>
        </is>
      </c>
      <c r="C93" t="inlineStr">
        <is>
          <t>Basic Sewage Outflow Pipe</t>
        </is>
      </c>
      <c r="D93" t="n">
        <v>2</v>
      </c>
      <c r="E93" t="n">
        <v>160</v>
      </c>
      <c r="F93" t="n">
        <v>9000</v>
      </c>
      <c r="G93" t="n">
        <v>8</v>
      </c>
    </row>
    <row r="94">
      <c r="A94" t="inlineStr">
        <is>
          <t>Basic Sewage Outflow Pipe|3</t>
        </is>
      </c>
      <c r="B94" t="inlineStr">
        <is>
          <t>Sewage</t>
        </is>
      </c>
      <c r="C94" t="inlineStr">
        <is>
          <t>Basic Sewage Outflow Pipe</t>
        </is>
      </c>
      <c r="D94" t="n">
        <v>3</v>
      </c>
      <c r="E94" t="n">
        <v>250</v>
      </c>
      <c r="F94" t="n">
        <v>15500</v>
      </c>
      <c r="G94" t="n">
        <v>8</v>
      </c>
    </row>
    <row r="95">
      <c r="A95" t="inlineStr">
        <is>
          <t>Basic Sewage Outflow Pipe|4</t>
        </is>
      </c>
      <c r="B95" t="inlineStr">
        <is>
          <t>Sewage</t>
        </is>
      </c>
      <c r="C95" t="inlineStr">
        <is>
          <t>Basic Sewage Outflow Pipe</t>
        </is>
      </c>
      <c r="D95" t="n">
        <v>4</v>
      </c>
      <c r="E95" t="n">
        <v>360</v>
      </c>
      <c r="F95" t="n">
        <v>23500</v>
      </c>
      <c r="G95" t="n">
        <v>8</v>
      </c>
    </row>
    <row r="96">
      <c r="A96" t="inlineStr">
        <is>
          <t>Basic Sewage Outflow Pipe|5</t>
        </is>
      </c>
      <c r="B96" t="inlineStr">
        <is>
          <t>Sewage</t>
        </is>
      </c>
      <c r="C96" t="inlineStr">
        <is>
          <t>Basic Sewage Outflow Pipe</t>
        </is>
      </c>
      <c r="D96" t="n">
        <v>5</v>
      </c>
      <c r="E96" t="n">
        <v>470</v>
      </c>
      <c r="F96" t="n">
        <v>33000</v>
      </c>
      <c r="G96" t="n">
        <v>8</v>
      </c>
    </row>
    <row r="97">
      <c r="A97" t="inlineStr">
        <is>
          <t>Basic Sewage Outflow Pipe|6</t>
        </is>
      </c>
      <c r="B97" t="inlineStr">
        <is>
          <t>Sewage</t>
        </is>
      </c>
      <c r="C97" t="inlineStr">
        <is>
          <t>Basic Sewage Outflow Pipe</t>
        </is>
      </c>
      <c r="D97" t="n">
        <v>6</v>
      </c>
      <c r="E97" t="n">
        <v>585</v>
      </c>
      <c r="F97" t="n">
        <v>44000</v>
      </c>
      <c r="G97" t="n">
        <v>8</v>
      </c>
    </row>
    <row r="98">
      <c r="A98" t="inlineStr">
        <is>
          <t>Basic Sewage Outflow Pipe|7</t>
        </is>
      </c>
      <c r="B98" t="inlineStr">
        <is>
          <t>Sewage</t>
        </is>
      </c>
      <c r="C98" t="inlineStr">
        <is>
          <t>Basic Sewage Outflow Pipe</t>
        </is>
      </c>
      <c r="D98" t="n">
        <v>7</v>
      </c>
      <c r="E98" t="n">
        <v>700</v>
      </c>
      <c r="F98" t="n">
        <v>56500</v>
      </c>
      <c r="G98" t="n">
        <v>8</v>
      </c>
    </row>
    <row r="99">
      <c r="A99" t="inlineStr">
        <is>
          <t>Basic Sewage Outflow Pipe|8</t>
        </is>
      </c>
      <c r="B99" t="inlineStr">
        <is>
          <t>Sewage</t>
        </is>
      </c>
      <c r="C99" t="inlineStr">
        <is>
          <t>Basic Sewage Outflow Pipe</t>
        </is>
      </c>
      <c r="D99" t="n">
        <v>8</v>
      </c>
      <c r="E99" t="n">
        <v>810</v>
      </c>
      <c r="F99" t="n">
        <v>70500</v>
      </c>
      <c r="G99" t="n">
        <v>8</v>
      </c>
    </row>
    <row r="100">
      <c r="A100" t="inlineStr">
        <is>
          <t>Deluxe Sewage Treatment Plant|1</t>
        </is>
      </c>
      <c r="B100" t="inlineStr">
        <is>
          <t>Sewage</t>
        </is>
      </c>
      <c r="C100" t="inlineStr">
        <is>
          <t>Deluxe Sewage Treatment Plant</t>
        </is>
      </c>
      <c r="D100" t="n">
        <v>1</v>
      </c>
      <c r="E100" t="n">
        <v>180</v>
      </c>
      <c r="F100" t="n">
        <v>16000</v>
      </c>
      <c r="G100" t="n">
        <v>10</v>
      </c>
    </row>
    <row r="101">
      <c r="A101" t="inlineStr">
        <is>
          <t>Deluxe Sewage Treatment Plant|2</t>
        </is>
      </c>
      <c r="B101" t="inlineStr">
        <is>
          <t>Sewage</t>
        </is>
      </c>
      <c r="C101" t="inlineStr">
        <is>
          <t>Deluxe Sewage Treatment Plant</t>
        </is>
      </c>
      <c r="D101" t="n">
        <v>2</v>
      </c>
      <c r="E101" t="n">
        <v>360</v>
      </c>
      <c r="F101" t="n">
        <v>35500</v>
      </c>
      <c r="G101" t="n">
        <v>10</v>
      </c>
    </row>
    <row r="102">
      <c r="A102" t="inlineStr">
        <is>
          <t>Deluxe Sewage Treatment Plant|3</t>
        </is>
      </c>
      <c r="B102" t="inlineStr">
        <is>
          <t>Sewage</t>
        </is>
      </c>
      <c r="C102" t="inlineStr">
        <is>
          <t>Deluxe Sewage Treatment Plant</t>
        </is>
      </c>
      <c r="D102" t="n">
        <v>3</v>
      </c>
      <c r="E102" t="n">
        <v>490</v>
      </c>
      <c r="F102" t="n">
        <v>58500</v>
      </c>
      <c r="G102" t="n">
        <v>10</v>
      </c>
    </row>
    <row r="103">
      <c r="A103" t="inlineStr">
        <is>
          <t>Deluxe Sewage Treatment Plant|4</t>
        </is>
      </c>
      <c r="B103" t="inlineStr">
        <is>
          <t>Sewage</t>
        </is>
      </c>
      <c r="C103" t="inlineStr">
        <is>
          <t>Deluxe Sewage Treatment Plant</t>
        </is>
      </c>
      <c r="D103" t="n">
        <v>4</v>
      </c>
      <c r="E103" t="n">
        <v>630</v>
      </c>
      <c r="F103" t="n">
        <v>85000</v>
      </c>
      <c r="G103" t="n">
        <v>10</v>
      </c>
    </row>
    <row r="104">
      <c r="A104" t="inlineStr">
        <is>
          <t>Deluxe Sewage Treatment Plant|5</t>
        </is>
      </c>
      <c r="B104" t="inlineStr">
        <is>
          <t>Sewage</t>
        </is>
      </c>
      <c r="C104" t="inlineStr">
        <is>
          <t>Deluxe Sewage Treatment Plant</t>
        </is>
      </c>
      <c r="D104" t="n">
        <v>5</v>
      </c>
      <c r="E104" t="n">
        <v>720</v>
      </c>
      <c r="F104" t="n">
        <v>115000</v>
      </c>
      <c r="G104" t="n">
        <v>10</v>
      </c>
    </row>
    <row r="105">
      <c r="A105" t="inlineStr">
        <is>
          <t>Deluxe Sewage Treatment Plant|6</t>
        </is>
      </c>
      <c r="B105" t="inlineStr">
        <is>
          <t>Sewage</t>
        </is>
      </c>
      <c r="C105" t="inlineStr">
        <is>
          <t>Deluxe Sewage Treatment Plant</t>
        </is>
      </c>
      <c r="D105" t="n">
        <v>6</v>
      </c>
      <c r="E105" t="n">
        <v>800</v>
      </c>
      <c r="F105" t="n">
        <v>148500</v>
      </c>
      <c r="G105" t="n">
        <v>10</v>
      </c>
    </row>
    <row r="106">
      <c r="A106" t="inlineStr">
        <is>
          <t>Deluxe Sewage Treatment Plant|7</t>
        </is>
      </c>
      <c r="B106" t="inlineStr">
        <is>
          <t>Sewage</t>
        </is>
      </c>
      <c r="C106" t="inlineStr">
        <is>
          <t>Deluxe Sewage Treatment Plant</t>
        </is>
      </c>
      <c r="D106" t="n">
        <v>7</v>
      </c>
      <c r="E106" t="n">
        <v>900</v>
      </c>
      <c r="F106" t="n">
        <v>152200</v>
      </c>
      <c r="G106" t="n">
        <v>10</v>
      </c>
    </row>
    <row r="107">
      <c r="A107" t="inlineStr">
        <is>
          <t>Deluxe Sewage Treatment Plant|8</t>
        </is>
      </c>
      <c r="B107" t="inlineStr">
        <is>
          <t>Sewage</t>
        </is>
      </c>
      <c r="C107" t="inlineStr">
        <is>
          <t>Deluxe Sewage Treatment Plant</t>
        </is>
      </c>
      <c r="D107" t="n">
        <v>8</v>
      </c>
      <c r="E107" t="n">
        <v>1000</v>
      </c>
      <c r="F107" t="n">
        <v>192700</v>
      </c>
      <c r="G107" t="n">
        <v>10</v>
      </c>
    </row>
    <row r="108">
      <c r="A108" t="inlineStr">
        <is>
          <t>Deluxe Sewage Treatment Plant|9</t>
        </is>
      </c>
      <c r="B108" t="inlineStr">
        <is>
          <t>Sewage</t>
        </is>
      </c>
      <c r="C108" t="inlineStr">
        <is>
          <t>Deluxe Sewage Treatment Plant</t>
        </is>
      </c>
      <c r="D108" t="n">
        <v>9</v>
      </c>
      <c r="E108" t="n">
        <v>1100</v>
      </c>
      <c r="F108" t="n">
        <v>236700</v>
      </c>
      <c r="G108" t="n">
        <v>10</v>
      </c>
    </row>
    <row r="109">
      <c r="A109" t="inlineStr">
        <is>
          <t>Deluxe Sewage Treatment Plant|10</t>
        </is>
      </c>
      <c r="B109" t="inlineStr">
        <is>
          <t>Sewage</t>
        </is>
      </c>
      <c r="C109" t="inlineStr">
        <is>
          <t>Deluxe Sewage Treatment Plant</t>
        </is>
      </c>
      <c r="D109" t="n">
        <v>10</v>
      </c>
      <c r="E109" t="n">
        <v>1350</v>
      </c>
      <c r="F109" t="n">
        <v>281700</v>
      </c>
      <c r="G109" t="n">
        <v>10</v>
      </c>
    </row>
    <row r="110">
      <c r="A110" t="inlineStr">
        <is>
          <t>Omega Sewage Treatment Plant|1</t>
        </is>
      </c>
      <c r="B110" t="inlineStr">
        <is>
          <t>Sewage</t>
        </is>
      </c>
      <c r="C110" t="inlineStr">
        <is>
          <t>Omega Sewage Treatment Plant</t>
        </is>
      </c>
      <c r="D110" t="n">
        <v>1</v>
      </c>
      <c r="E110" t="n">
        <v>675</v>
      </c>
      <c r="F110" t="n">
        <v>10000</v>
      </c>
      <c r="G110" t="n">
        <v>10</v>
      </c>
    </row>
    <row r="111">
      <c r="A111" t="inlineStr">
        <is>
          <t>Omega Sewage Treatment Plant|2</t>
        </is>
      </c>
      <c r="B111" t="inlineStr">
        <is>
          <t>Sewage</t>
        </is>
      </c>
      <c r="C111" t="inlineStr">
        <is>
          <t>Omega Sewage Treatment Plant</t>
        </is>
      </c>
      <c r="D111" t="n">
        <v>2</v>
      </c>
      <c r="E111" t="n">
        <v>1350</v>
      </c>
      <c r="F111" t="n">
        <v>25000</v>
      </c>
      <c r="G111" t="n">
        <v>10</v>
      </c>
    </row>
    <row r="112">
      <c r="A112" t="inlineStr">
        <is>
          <t>Omega Sewage Treatment Plant|3</t>
        </is>
      </c>
      <c r="B112" t="inlineStr">
        <is>
          <t>Sewage</t>
        </is>
      </c>
      <c r="C112" t="inlineStr">
        <is>
          <t>Omega Sewage Treatment Plant</t>
        </is>
      </c>
      <c r="D112" t="n">
        <v>3</v>
      </c>
      <c r="E112" t="n">
        <v>2025</v>
      </c>
      <c r="F112" t="n">
        <v>45000</v>
      </c>
      <c r="G112" t="n">
        <v>10</v>
      </c>
    </row>
    <row r="113">
      <c r="A113" t="inlineStr">
        <is>
          <t>Omega Sewage Treatment Plant|4</t>
        </is>
      </c>
      <c r="B113" t="inlineStr">
        <is>
          <t>Sewage</t>
        </is>
      </c>
      <c r="C113" t="inlineStr">
        <is>
          <t>Omega Sewage Treatment Plant</t>
        </is>
      </c>
      <c r="D113" t="n">
        <v>4</v>
      </c>
      <c r="E113" t="n">
        <v>2700</v>
      </c>
      <c r="F113" t="n">
        <v>70000</v>
      </c>
      <c r="G113" t="n">
        <v>10</v>
      </c>
    </row>
    <row r="114">
      <c r="A114" t="inlineStr">
        <is>
          <t>Omega Sewage Treatment Plant|5</t>
        </is>
      </c>
      <c r="B114" t="inlineStr">
        <is>
          <t>Sewage</t>
        </is>
      </c>
      <c r="C114" t="inlineStr">
        <is>
          <t>Omega Sewage Treatment Plant</t>
        </is>
      </c>
      <c r="D114" t="n">
        <v>5</v>
      </c>
      <c r="E114" t="n">
        <v>3150</v>
      </c>
      <c r="F114" t="n">
        <v>100000</v>
      </c>
      <c r="G114" t="n">
        <v>10</v>
      </c>
    </row>
    <row r="115">
      <c r="A115" t="inlineStr">
        <is>
          <t>Omega Sewage Treatment Plant|6</t>
        </is>
      </c>
      <c r="B115" t="inlineStr">
        <is>
          <t>Sewage</t>
        </is>
      </c>
      <c r="C115" t="inlineStr">
        <is>
          <t>Omega Sewage Treatment Plant</t>
        </is>
      </c>
      <c r="D115" t="n">
        <v>6</v>
      </c>
      <c r="E115" t="n">
        <v>3600</v>
      </c>
      <c r="F115" t="n">
        <v>135000</v>
      </c>
      <c r="G115" t="n">
        <v>10</v>
      </c>
    </row>
    <row r="116">
      <c r="A116" t="inlineStr">
        <is>
          <t>Omega Sewage Treatment Plant|7</t>
        </is>
      </c>
      <c r="B116" t="inlineStr">
        <is>
          <t>Sewage</t>
        </is>
      </c>
      <c r="C116" t="inlineStr">
        <is>
          <t>Omega Sewage Treatment Plant</t>
        </is>
      </c>
      <c r="D116" t="n">
        <v>7</v>
      </c>
      <c r="E116" t="n">
        <v>4050</v>
      </c>
      <c r="F116" t="n">
        <v>172500</v>
      </c>
      <c r="G116" t="n">
        <v>10</v>
      </c>
    </row>
    <row r="117">
      <c r="A117" t="inlineStr">
        <is>
          <t>Omega Sewage Treatment Plant|8</t>
        </is>
      </c>
      <c r="B117" t="inlineStr">
        <is>
          <t>Sewage</t>
        </is>
      </c>
      <c r="C117" t="inlineStr">
        <is>
          <t>Omega Sewage Treatment Plant</t>
        </is>
      </c>
      <c r="D117" t="n">
        <v>8</v>
      </c>
      <c r="E117" t="n">
        <v>4500</v>
      </c>
      <c r="F117" t="n">
        <v>212500</v>
      </c>
      <c r="G117" t="n">
        <v>10</v>
      </c>
    </row>
    <row r="118">
      <c r="A118" t="inlineStr">
        <is>
          <t>Omega Sewage Treatment Plant|9</t>
        </is>
      </c>
      <c r="B118" t="inlineStr">
        <is>
          <t>Sewage</t>
        </is>
      </c>
      <c r="C118" t="inlineStr">
        <is>
          <t>Omega Sewage Treatment Plant</t>
        </is>
      </c>
      <c r="D118" t="n">
        <v>9</v>
      </c>
      <c r="E118" t="n">
        <v>5050</v>
      </c>
      <c r="F118" t="n">
        <v>255000</v>
      </c>
      <c r="G118" t="n">
        <v>10</v>
      </c>
    </row>
    <row r="119">
      <c r="A119" t="inlineStr">
        <is>
          <t>Omega Sewage Treatment Plant|10</t>
        </is>
      </c>
      <c r="B119" t="inlineStr">
        <is>
          <t>Sewage</t>
        </is>
      </c>
      <c r="C119" t="inlineStr">
        <is>
          <t>Omega Sewage Treatment Plant</t>
        </is>
      </c>
      <c r="D119" t="n">
        <v>10</v>
      </c>
      <c r="E119" t="n">
        <v>5600</v>
      </c>
      <c r="F119" t="n">
        <v>300000</v>
      </c>
      <c r="G119" t="n">
        <v>10</v>
      </c>
    </row>
    <row r="120">
      <c r="A120" t="inlineStr">
        <is>
          <t>Small Garbage Dump|1</t>
        </is>
      </c>
      <c r="B120" t="inlineStr">
        <is>
          <t>Waste</t>
        </is>
      </c>
      <c r="C120" t="inlineStr">
        <is>
          <t>Small Garbage Dump</t>
        </is>
      </c>
      <c r="D120" t="n">
        <v>1</v>
      </c>
      <c r="E120" t="n">
        <v>90</v>
      </c>
      <c r="F120" t="n">
        <v>5000</v>
      </c>
      <c r="G120" t="n">
        <v>5</v>
      </c>
    </row>
    <row r="121">
      <c r="A121" t="inlineStr">
        <is>
          <t>Small Garbage Dump|2</t>
        </is>
      </c>
      <c r="B121" t="inlineStr">
        <is>
          <t>Waste</t>
        </is>
      </c>
      <c r="C121" t="inlineStr">
        <is>
          <t>Small Garbage Dump</t>
        </is>
      </c>
      <c r="D121" t="n">
        <v>2</v>
      </c>
      <c r="E121" t="n">
        <v>160</v>
      </c>
      <c r="F121" t="n">
        <v>10500</v>
      </c>
      <c r="G121" t="n">
        <v>5</v>
      </c>
    </row>
    <row r="122">
      <c r="A122" t="inlineStr">
        <is>
          <t>Small Garbage Dump|3</t>
        </is>
      </c>
      <c r="B122" t="inlineStr">
        <is>
          <t>Waste</t>
        </is>
      </c>
      <c r="C122" t="inlineStr">
        <is>
          <t>Small Garbage Dump</t>
        </is>
      </c>
      <c r="D122" t="n">
        <v>3</v>
      </c>
      <c r="E122" t="n">
        <v>225</v>
      </c>
      <c r="F122" t="n">
        <v>16500</v>
      </c>
      <c r="G122" t="n">
        <v>5</v>
      </c>
    </row>
    <row r="123">
      <c r="A123" t="inlineStr">
        <is>
          <t>Small Garbage Dump|4</t>
        </is>
      </c>
      <c r="B123" t="inlineStr">
        <is>
          <t>Waste</t>
        </is>
      </c>
      <c r="C123" t="inlineStr">
        <is>
          <t>Small Garbage Dump</t>
        </is>
      </c>
      <c r="D123" t="n">
        <v>4</v>
      </c>
      <c r="E123" t="n">
        <v>315</v>
      </c>
      <c r="F123" t="n">
        <v>23000</v>
      </c>
      <c r="G123" t="n">
        <v>5</v>
      </c>
    </row>
    <row r="124">
      <c r="A124" t="inlineStr">
        <is>
          <t>Small Garbage Dump|5</t>
        </is>
      </c>
      <c r="B124" t="inlineStr">
        <is>
          <t>Waste</t>
        </is>
      </c>
      <c r="C124" t="inlineStr">
        <is>
          <t>Small Garbage Dump</t>
        </is>
      </c>
      <c r="D124" t="n">
        <v>5</v>
      </c>
      <c r="E124" t="n">
        <v>405</v>
      </c>
      <c r="F124" t="n">
        <v>30000</v>
      </c>
      <c r="G124" t="n">
        <v>5</v>
      </c>
    </row>
    <row r="125">
      <c r="A125" t="inlineStr">
        <is>
          <t>Garbage Dump|1</t>
        </is>
      </c>
      <c r="B125" t="inlineStr">
        <is>
          <t>Waste</t>
        </is>
      </c>
      <c r="C125" t="inlineStr">
        <is>
          <t>Garbage Dump</t>
        </is>
      </c>
      <c r="D125" t="n">
        <v>1</v>
      </c>
      <c r="E125" t="n">
        <v>135</v>
      </c>
      <c r="F125" t="n">
        <v>8000</v>
      </c>
      <c r="G125" t="n">
        <v>5</v>
      </c>
    </row>
    <row r="126">
      <c r="A126" t="inlineStr">
        <is>
          <t>Garbage Dump|2</t>
        </is>
      </c>
      <c r="B126" t="inlineStr">
        <is>
          <t>Waste</t>
        </is>
      </c>
      <c r="C126" t="inlineStr">
        <is>
          <t>Garbage Dump</t>
        </is>
      </c>
      <c r="D126" t="n">
        <v>2</v>
      </c>
      <c r="E126" t="n">
        <v>315</v>
      </c>
      <c r="F126" t="n">
        <v>19000</v>
      </c>
      <c r="G126" t="n">
        <v>5</v>
      </c>
    </row>
    <row r="127">
      <c r="A127" t="inlineStr">
        <is>
          <t>Garbage Dump|3</t>
        </is>
      </c>
      <c r="B127" t="inlineStr">
        <is>
          <t>Waste</t>
        </is>
      </c>
      <c r="C127" t="inlineStr">
        <is>
          <t>Garbage Dump</t>
        </is>
      </c>
      <c r="D127" t="n">
        <v>3</v>
      </c>
      <c r="E127" t="n">
        <v>430</v>
      </c>
      <c r="F127" t="n">
        <v>33000</v>
      </c>
      <c r="G127" t="n">
        <v>5</v>
      </c>
    </row>
    <row r="128">
      <c r="A128" t="inlineStr">
        <is>
          <t>Garbage Dump|4</t>
        </is>
      </c>
      <c r="B128" t="inlineStr">
        <is>
          <t>Waste</t>
        </is>
      </c>
      <c r="C128" t="inlineStr">
        <is>
          <t>Garbage Dump</t>
        </is>
      </c>
      <c r="D128" t="n">
        <v>4</v>
      </c>
      <c r="E128" t="n">
        <v>540</v>
      </c>
      <c r="F128" t="n">
        <v>50000</v>
      </c>
      <c r="G128" t="n">
        <v>5</v>
      </c>
    </row>
    <row r="129">
      <c r="A129" t="inlineStr">
        <is>
          <t>Garbage Dump|5</t>
        </is>
      </c>
      <c r="B129" t="inlineStr">
        <is>
          <t>Waste</t>
        </is>
      </c>
      <c r="C129" t="inlineStr">
        <is>
          <t>Garbage Dump</t>
        </is>
      </c>
      <c r="D129" t="n">
        <v>5</v>
      </c>
      <c r="E129" t="n">
        <v>675</v>
      </c>
      <c r="F129" t="n">
        <v>70000</v>
      </c>
      <c r="G129" t="n">
        <v>5</v>
      </c>
    </row>
    <row r="130">
      <c r="A130" t="inlineStr">
        <is>
          <t>Garbage Incinerator|1</t>
        </is>
      </c>
      <c r="B130" t="inlineStr">
        <is>
          <t>Waste</t>
        </is>
      </c>
      <c r="C130" t="inlineStr">
        <is>
          <t>Garbage Incinerator</t>
        </is>
      </c>
      <c r="D130" t="n">
        <v>1</v>
      </c>
      <c r="E130" t="n">
        <v>110</v>
      </c>
      <c r="F130" t="n">
        <v>16000</v>
      </c>
      <c r="G130" t="n">
        <v>8</v>
      </c>
    </row>
    <row r="131">
      <c r="A131" t="inlineStr">
        <is>
          <t>Garbage Incinerator|2</t>
        </is>
      </c>
      <c r="B131" t="inlineStr">
        <is>
          <t>Waste</t>
        </is>
      </c>
      <c r="C131" t="inlineStr">
        <is>
          <t>Garbage Incinerator</t>
        </is>
      </c>
      <c r="D131" t="n">
        <v>2</v>
      </c>
      <c r="E131" t="n">
        <v>340</v>
      </c>
      <c r="F131" t="n">
        <v>36000</v>
      </c>
      <c r="G131" t="n">
        <v>8</v>
      </c>
    </row>
    <row r="132">
      <c r="A132" t="inlineStr">
        <is>
          <t>Garbage Incinerator|3</t>
        </is>
      </c>
      <c r="B132" t="inlineStr">
        <is>
          <t>Waste</t>
        </is>
      </c>
      <c r="C132" t="inlineStr">
        <is>
          <t>Garbage Incinerator</t>
        </is>
      </c>
      <c r="D132" t="n">
        <v>3</v>
      </c>
      <c r="E132" t="n">
        <v>430</v>
      </c>
      <c r="F132" t="n">
        <v>60000</v>
      </c>
      <c r="G132" t="n">
        <v>8</v>
      </c>
    </row>
    <row r="133">
      <c r="A133" t="inlineStr">
        <is>
          <t>Garbage Incinerator|4</t>
        </is>
      </c>
      <c r="B133" t="inlineStr">
        <is>
          <t>Waste</t>
        </is>
      </c>
      <c r="C133" t="inlineStr">
        <is>
          <t>Garbage Incinerator</t>
        </is>
      </c>
      <c r="D133" t="n">
        <v>4</v>
      </c>
      <c r="E133" t="n">
        <v>520</v>
      </c>
      <c r="F133" t="n">
        <v>88000</v>
      </c>
      <c r="G133" t="n">
        <v>8</v>
      </c>
    </row>
    <row r="134">
      <c r="A134" t="inlineStr">
        <is>
          <t>Garbage Incinerator|5</t>
        </is>
      </c>
      <c r="B134" t="inlineStr">
        <is>
          <t>Waste</t>
        </is>
      </c>
      <c r="C134" t="inlineStr">
        <is>
          <t>Garbage Incinerator</t>
        </is>
      </c>
      <c r="D134" t="n">
        <v>5</v>
      </c>
      <c r="E134" t="n">
        <v>610</v>
      </c>
      <c r="F134" t="n">
        <v>120000</v>
      </c>
      <c r="G134" t="n">
        <v>8</v>
      </c>
    </row>
    <row r="135">
      <c r="A135" t="inlineStr">
        <is>
          <t>Garbage Incinerator|6</t>
        </is>
      </c>
      <c r="B135" t="inlineStr">
        <is>
          <t>Waste</t>
        </is>
      </c>
      <c r="C135" t="inlineStr">
        <is>
          <t>Garbage Incinerator</t>
        </is>
      </c>
      <c r="D135" t="n">
        <v>6</v>
      </c>
      <c r="E135" t="n">
        <v>700</v>
      </c>
      <c r="F135" t="n">
        <v>156000</v>
      </c>
      <c r="G135" t="n">
        <v>8</v>
      </c>
    </row>
    <row r="136">
      <c r="A136" t="inlineStr">
        <is>
          <t>Garbage Incinerator|7</t>
        </is>
      </c>
      <c r="B136" t="inlineStr">
        <is>
          <t>Waste</t>
        </is>
      </c>
      <c r="C136" t="inlineStr">
        <is>
          <t>Garbage Incinerator</t>
        </is>
      </c>
      <c r="D136" t="n">
        <v>7</v>
      </c>
      <c r="E136" t="n">
        <v>790</v>
      </c>
      <c r="F136" t="n">
        <v>196000</v>
      </c>
      <c r="G136" t="n">
        <v>8</v>
      </c>
    </row>
    <row r="137">
      <c r="A137" t="inlineStr">
        <is>
          <t>Garbage Incinerator|8</t>
        </is>
      </c>
      <c r="B137" t="inlineStr">
        <is>
          <t>Waste</t>
        </is>
      </c>
      <c r="C137" t="inlineStr">
        <is>
          <t>Garbage Incinerator</t>
        </is>
      </c>
      <c r="D137" t="n">
        <v>8</v>
      </c>
      <c r="E137" t="n">
        <v>900</v>
      </c>
      <c r="F137" t="n">
        <v>240000</v>
      </c>
      <c r="G137" t="n">
        <v>8</v>
      </c>
    </row>
    <row r="138">
      <c r="A138" t="inlineStr">
        <is>
          <t>Recycling Center|1</t>
        </is>
      </c>
      <c r="B138" t="inlineStr">
        <is>
          <t>Waste</t>
        </is>
      </c>
      <c r="C138" t="inlineStr">
        <is>
          <t>Recycling Center</t>
        </is>
      </c>
      <c r="D138" t="n">
        <v>1</v>
      </c>
      <c r="E138" t="n">
        <v>450</v>
      </c>
      <c r="F138" t="n">
        <v>35000</v>
      </c>
      <c r="G138" t="n">
        <v>10</v>
      </c>
    </row>
    <row r="139">
      <c r="A139" t="inlineStr">
        <is>
          <t>Recycling Center|2</t>
        </is>
      </c>
      <c r="B139" t="inlineStr">
        <is>
          <t>Waste</t>
        </is>
      </c>
      <c r="C139" t="inlineStr">
        <is>
          <t>Recycling Center</t>
        </is>
      </c>
      <c r="D139" t="n">
        <v>2</v>
      </c>
      <c r="E139" t="n">
        <v>765</v>
      </c>
      <c r="F139" t="n">
        <v>75000</v>
      </c>
      <c r="G139" t="n">
        <v>10</v>
      </c>
    </row>
    <row r="140">
      <c r="A140" t="inlineStr">
        <is>
          <t>Recycling Center|3</t>
        </is>
      </c>
      <c r="B140" t="inlineStr">
        <is>
          <t>Waste</t>
        </is>
      </c>
      <c r="C140" t="inlineStr">
        <is>
          <t>Recycling Center</t>
        </is>
      </c>
      <c r="D140" t="n">
        <v>3</v>
      </c>
      <c r="E140" t="n">
        <v>1080</v>
      </c>
      <c r="F140" t="n">
        <v>120000</v>
      </c>
      <c r="G140" t="n">
        <v>10</v>
      </c>
    </row>
    <row r="141">
      <c r="A141" t="inlineStr">
        <is>
          <t>Recycling Center|4</t>
        </is>
      </c>
      <c r="B141" t="inlineStr">
        <is>
          <t>Waste</t>
        </is>
      </c>
      <c r="C141" t="inlineStr">
        <is>
          <t>Recycling Center</t>
        </is>
      </c>
      <c r="D141" t="n">
        <v>4</v>
      </c>
      <c r="E141" t="n">
        <v>1350</v>
      </c>
      <c r="F141" t="n">
        <v>170000</v>
      </c>
      <c r="G141" t="n">
        <v>10</v>
      </c>
    </row>
    <row r="142">
      <c r="A142" t="inlineStr">
        <is>
          <t>Recycling Center|5</t>
        </is>
      </c>
      <c r="B142" t="inlineStr">
        <is>
          <t>Waste</t>
        </is>
      </c>
      <c r="C142" t="inlineStr">
        <is>
          <t>Recycling Center</t>
        </is>
      </c>
      <c r="D142" t="n">
        <v>5</v>
      </c>
      <c r="E142" t="n">
        <v>1575</v>
      </c>
      <c r="F142" t="n">
        <v>225000</v>
      </c>
      <c r="G142" t="n">
        <v>10</v>
      </c>
    </row>
    <row r="143">
      <c r="A143" t="inlineStr">
        <is>
          <t>Recycling Center|6</t>
        </is>
      </c>
      <c r="B143" t="inlineStr">
        <is>
          <t>Waste</t>
        </is>
      </c>
      <c r="C143" t="inlineStr">
        <is>
          <t>Recycling Center</t>
        </is>
      </c>
      <c r="D143" t="n">
        <v>6</v>
      </c>
      <c r="E143" t="n">
        <v>1710</v>
      </c>
      <c r="F143" t="n">
        <v>285000</v>
      </c>
      <c r="G143" t="n">
        <v>10</v>
      </c>
    </row>
    <row r="144">
      <c r="A144" t="inlineStr">
        <is>
          <t>Recycling Center|7</t>
        </is>
      </c>
      <c r="B144" t="inlineStr">
        <is>
          <t>Waste</t>
        </is>
      </c>
      <c r="C144" t="inlineStr">
        <is>
          <t>Recycling Center</t>
        </is>
      </c>
      <c r="D144" t="n">
        <v>7</v>
      </c>
      <c r="E144" t="n">
        <v>1845</v>
      </c>
      <c r="F144" t="n">
        <v>350000</v>
      </c>
      <c r="G144" t="n">
        <v>10</v>
      </c>
    </row>
    <row r="145">
      <c r="A145" t="inlineStr">
        <is>
          <t>Recycling Center|8</t>
        </is>
      </c>
      <c r="B145" t="inlineStr">
        <is>
          <t>Waste</t>
        </is>
      </c>
      <c r="C145" t="inlineStr">
        <is>
          <t>Recycling Center</t>
        </is>
      </c>
      <c r="D145" t="n">
        <v>8</v>
      </c>
      <c r="E145" t="n">
        <v>1980</v>
      </c>
      <c r="F145" t="n">
        <v>420000</v>
      </c>
      <c r="G145" t="n">
        <v>10</v>
      </c>
    </row>
    <row r="146">
      <c r="A146" t="inlineStr">
        <is>
          <t>Recycling Center|9</t>
        </is>
      </c>
      <c r="B146" t="inlineStr">
        <is>
          <t>Waste</t>
        </is>
      </c>
      <c r="C146" t="inlineStr">
        <is>
          <t>Recycling Center</t>
        </is>
      </c>
      <c r="D146" t="n">
        <v>9</v>
      </c>
      <c r="E146" t="n">
        <v>2070</v>
      </c>
      <c r="F146" t="n">
        <v>495000</v>
      </c>
      <c r="G146" t="n">
        <v>10</v>
      </c>
    </row>
    <row r="147">
      <c r="A147" t="inlineStr">
        <is>
          <t>Recycling Center|10</t>
        </is>
      </c>
      <c r="B147" t="inlineStr">
        <is>
          <t>Waste</t>
        </is>
      </c>
      <c r="C147" t="inlineStr">
        <is>
          <t>Recycling Center</t>
        </is>
      </c>
      <c r="D147" t="n">
        <v>10</v>
      </c>
      <c r="E147" t="n">
        <v>2250</v>
      </c>
      <c r="F147" t="n">
        <v>575000</v>
      </c>
      <c r="G147" t="n">
        <v>10</v>
      </c>
    </row>
    <row r="148">
      <c r="A148" t="inlineStr">
        <is>
          <t>Omega Recycling Center|1</t>
        </is>
      </c>
      <c r="B148" t="inlineStr">
        <is>
          <t>Waste</t>
        </is>
      </c>
      <c r="C148" t="inlineStr">
        <is>
          <t>Omega Recycling Center</t>
        </is>
      </c>
      <c r="D148" t="n">
        <v>1</v>
      </c>
      <c r="E148" t="n">
        <v>675</v>
      </c>
      <c r="F148" t="n">
        <v>10000</v>
      </c>
      <c r="G148" t="n">
        <v>10</v>
      </c>
    </row>
    <row r="149">
      <c r="A149" t="inlineStr">
        <is>
          <t>Omega Recycling Center|2</t>
        </is>
      </c>
      <c r="B149" t="inlineStr">
        <is>
          <t>Waste</t>
        </is>
      </c>
      <c r="C149" t="inlineStr">
        <is>
          <t>Omega Recycling Center</t>
        </is>
      </c>
      <c r="D149" t="n">
        <v>2</v>
      </c>
      <c r="E149" t="n">
        <v>1350</v>
      </c>
      <c r="F149" t="n">
        <v>25000</v>
      </c>
      <c r="G149" t="n">
        <v>10</v>
      </c>
    </row>
    <row r="150">
      <c r="A150" t="inlineStr">
        <is>
          <t>Omega Recycling Center|3</t>
        </is>
      </c>
      <c r="B150" t="inlineStr">
        <is>
          <t>Waste</t>
        </is>
      </c>
      <c r="C150" t="inlineStr">
        <is>
          <t>Omega Recycling Center</t>
        </is>
      </c>
      <c r="D150" t="n">
        <v>3</v>
      </c>
      <c r="E150" t="n">
        <v>2025</v>
      </c>
      <c r="F150" t="n">
        <v>45000</v>
      </c>
      <c r="G150" t="n">
        <v>10</v>
      </c>
    </row>
    <row r="151">
      <c r="A151" t="inlineStr">
        <is>
          <t>Omega Recycling Center|4</t>
        </is>
      </c>
      <c r="B151" t="inlineStr">
        <is>
          <t>Waste</t>
        </is>
      </c>
      <c r="C151" t="inlineStr">
        <is>
          <t>Omega Recycling Center</t>
        </is>
      </c>
      <c r="D151" t="n">
        <v>4</v>
      </c>
      <c r="E151" t="n">
        <v>2700</v>
      </c>
      <c r="F151" t="n">
        <v>70000</v>
      </c>
      <c r="G151" t="n">
        <v>10</v>
      </c>
    </row>
    <row r="152">
      <c r="A152" t="inlineStr">
        <is>
          <t>Omega Recycling Center|5</t>
        </is>
      </c>
      <c r="B152" t="inlineStr">
        <is>
          <t>Waste</t>
        </is>
      </c>
      <c r="C152" t="inlineStr">
        <is>
          <t>Omega Recycling Center</t>
        </is>
      </c>
      <c r="D152" t="n">
        <v>5</v>
      </c>
      <c r="E152" t="n">
        <v>3150</v>
      </c>
      <c r="F152" t="n">
        <v>100000</v>
      </c>
      <c r="G152" t="n">
        <v>10</v>
      </c>
    </row>
    <row r="153">
      <c r="A153" t="inlineStr">
        <is>
          <t>Omega Recycling Center|6</t>
        </is>
      </c>
      <c r="B153" t="inlineStr">
        <is>
          <t>Waste</t>
        </is>
      </c>
      <c r="C153" t="inlineStr">
        <is>
          <t>Omega Recycling Center</t>
        </is>
      </c>
      <c r="D153" t="n">
        <v>6</v>
      </c>
      <c r="E153" t="n">
        <v>3600</v>
      </c>
      <c r="F153" t="n">
        <v>135000</v>
      </c>
      <c r="G153" t="n">
        <v>10</v>
      </c>
    </row>
    <row r="154">
      <c r="A154" t="inlineStr">
        <is>
          <t>Omega Recycling Center|7</t>
        </is>
      </c>
      <c r="B154" t="inlineStr">
        <is>
          <t>Waste</t>
        </is>
      </c>
      <c r="C154" t="inlineStr">
        <is>
          <t>Omega Recycling Center</t>
        </is>
      </c>
      <c r="D154" t="n">
        <v>7</v>
      </c>
      <c r="E154" t="n">
        <v>4050</v>
      </c>
      <c r="F154" t="n">
        <v>172500</v>
      </c>
      <c r="G154" t="n">
        <v>10</v>
      </c>
    </row>
    <row r="155">
      <c r="A155" t="inlineStr">
        <is>
          <t>Omega Recycling Center|8</t>
        </is>
      </c>
      <c r="B155" t="inlineStr">
        <is>
          <t>Waste</t>
        </is>
      </c>
      <c r="C155" t="inlineStr">
        <is>
          <t>Omega Recycling Center</t>
        </is>
      </c>
      <c r="D155" t="n">
        <v>8</v>
      </c>
      <c r="E155" t="n">
        <v>4500</v>
      </c>
      <c r="F155" t="n">
        <v>212500</v>
      </c>
      <c r="G155" t="n">
        <v>10</v>
      </c>
    </row>
    <row r="156">
      <c r="A156" t="inlineStr">
        <is>
          <t>Omega Recycling Center|9</t>
        </is>
      </c>
      <c r="B156" t="inlineStr">
        <is>
          <t>Waste</t>
        </is>
      </c>
      <c r="C156" t="inlineStr">
        <is>
          <t>Omega Recycling Center</t>
        </is>
      </c>
      <c r="D156" t="n">
        <v>9</v>
      </c>
      <c r="E156" t="n">
        <v>5050</v>
      </c>
      <c r="F156" t="n">
        <v>255000</v>
      </c>
      <c r="G156" t="n">
        <v>10</v>
      </c>
    </row>
    <row r="157">
      <c r="A157" t="inlineStr">
        <is>
          <t>Omega Recycling Center|10</t>
        </is>
      </c>
      <c r="B157" t="inlineStr">
        <is>
          <t>Waste</t>
        </is>
      </c>
      <c r="C157" t="inlineStr">
        <is>
          <t>Omega Recycling Center</t>
        </is>
      </c>
      <c r="D157" t="n">
        <v>10</v>
      </c>
      <c r="E157" t="n">
        <v>5600</v>
      </c>
      <c r="F157" t="n">
        <v>300000</v>
      </c>
      <c r="G157" t="n">
        <v>10</v>
      </c>
    </row>
    <row r="158">
      <c r="A158" t="inlineStr">
        <is>
          <t>Small Fire Station|1</t>
        </is>
      </c>
      <c r="B158" t="inlineStr">
        <is>
          <t>Fire</t>
        </is>
      </c>
      <c r="C158" t="inlineStr">
        <is>
          <t>Small Fire Station</t>
        </is>
      </c>
      <c r="D158" t="n">
        <v>1</v>
      </c>
      <c r="E158" t="n">
        <v>50</v>
      </c>
      <c r="F158" t="n">
        <v>1700</v>
      </c>
      <c r="G158" t="n">
        <v>3</v>
      </c>
    </row>
    <row r="159">
      <c r="A159" t="inlineStr">
        <is>
          <t>Small Fire Station|2</t>
        </is>
      </c>
      <c r="B159" t="inlineStr">
        <is>
          <t>Fire</t>
        </is>
      </c>
      <c r="C159" t="inlineStr">
        <is>
          <t>Small Fire Station</t>
        </is>
      </c>
      <c r="D159" t="n">
        <v>2</v>
      </c>
      <c r="E159" t="n">
        <v>125</v>
      </c>
      <c r="F159" t="n">
        <v>3950</v>
      </c>
      <c r="G159" t="n">
        <v>3</v>
      </c>
    </row>
    <row r="160">
      <c r="A160" t="inlineStr">
        <is>
          <t>Small Fire Station|3</t>
        </is>
      </c>
      <c r="B160" t="inlineStr">
        <is>
          <t>Fire</t>
        </is>
      </c>
      <c r="C160" t="inlineStr">
        <is>
          <t>Small Fire Station</t>
        </is>
      </c>
      <c r="D160" t="n">
        <v>3</v>
      </c>
      <c r="E160" t="n">
        <v>200</v>
      </c>
      <c r="F160" t="n">
        <v>6700</v>
      </c>
      <c r="G160" t="n">
        <v>3</v>
      </c>
    </row>
    <row r="161">
      <c r="A161" t="inlineStr">
        <is>
          <t>Basic Fire Station|1</t>
        </is>
      </c>
      <c r="B161" t="inlineStr">
        <is>
          <t>Fire</t>
        </is>
      </c>
      <c r="C161" t="inlineStr">
        <is>
          <t>Basic Fire Station</t>
        </is>
      </c>
      <c r="D161" t="n">
        <v>1</v>
      </c>
      <c r="E161" t="n">
        <v>100</v>
      </c>
      <c r="F161" t="n">
        <v>2250</v>
      </c>
      <c r="G161" t="n">
        <v>5</v>
      </c>
    </row>
    <row r="162">
      <c r="A162" t="inlineStr">
        <is>
          <t>Basic Fire Station|2</t>
        </is>
      </c>
      <c r="B162" t="inlineStr">
        <is>
          <t>Fire</t>
        </is>
      </c>
      <c r="C162" t="inlineStr">
        <is>
          <t>Basic Fire Station</t>
        </is>
      </c>
      <c r="D162" t="n">
        <v>2</v>
      </c>
      <c r="E162" t="n">
        <v>175</v>
      </c>
      <c r="F162" t="n">
        <v>4750</v>
      </c>
      <c r="G162" t="n">
        <v>5</v>
      </c>
    </row>
    <row r="163">
      <c r="A163" t="inlineStr">
        <is>
          <t>Basic Fire Station|3</t>
        </is>
      </c>
      <c r="B163" t="inlineStr">
        <is>
          <t>Fire</t>
        </is>
      </c>
      <c r="C163" t="inlineStr">
        <is>
          <t>Basic Fire Station</t>
        </is>
      </c>
      <c r="D163" t="n">
        <v>3</v>
      </c>
      <c r="E163" t="n">
        <v>250</v>
      </c>
      <c r="F163" t="n">
        <v>7500</v>
      </c>
      <c r="G163" t="n">
        <v>5</v>
      </c>
    </row>
    <row r="164">
      <c r="A164" t="inlineStr">
        <is>
          <t>Basic Fire Station|4</t>
        </is>
      </c>
      <c r="B164" t="inlineStr">
        <is>
          <t>Fire</t>
        </is>
      </c>
      <c r="C164" t="inlineStr">
        <is>
          <t>Basic Fire Station</t>
        </is>
      </c>
      <c r="D164" t="n">
        <v>4</v>
      </c>
      <c r="E164" t="n">
        <v>350</v>
      </c>
      <c r="F164" t="n">
        <v>10500</v>
      </c>
      <c r="G164" t="n">
        <v>5</v>
      </c>
    </row>
    <row r="165">
      <c r="A165" t="inlineStr">
        <is>
          <t>Basic Fire Station|5</t>
        </is>
      </c>
      <c r="B165" t="inlineStr">
        <is>
          <t>Fire</t>
        </is>
      </c>
      <c r="C165" t="inlineStr">
        <is>
          <t>Basic Fire Station</t>
        </is>
      </c>
      <c r="D165" t="n">
        <v>5</v>
      </c>
      <c r="E165" t="n">
        <v>500</v>
      </c>
      <c r="F165" t="n">
        <v>13750</v>
      </c>
      <c r="G165" t="n">
        <v>5</v>
      </c>
    </row>
    <row r="166">
      <c r="A166" t="inlineStr">
        <is>
          <t>Deluxe Fire Station|1</t>
        </is>
      </c>
      <c r="B166" t="inlineStr">
        <is>
          <t>Fire</t>
        </is>
      </c>
      <c r="C166" t="inlineStr">
        <is>
          <t>Deluxe Fire Station</t>
        </is>
      </c>
      <c r="D166" t="n">
        <v>1</v>
      </c>
      <c r="E166" t="n">
        <v>200</v>
      </c>
      <c r="F166" t="n">
        <v>5000</v>
      </c>
      <c r="G166" t="n">
        <v>8</v>
      </c>
    </row>
    <row r="167">
      <c r="A167" t="inlineStr">
        <is>
          <t>Deluxe Fire Station|2</t>
        </is>
      </c>
      <c r="B167" t="inlineStr">
        <is>
          <t>Fire</t>
        </is>
      </c>
      <c r="C167" t="inlineStr">
        <is>
          <t>Deluxe Fire Station</t>
        </is>
      </c>
      <c r="D167" t="n">
        <v>2</v>
      </c>
      <c r="E167" t="n">
        <v>500</v>
      </c>
      <c r="F167" t="n">
        <v>10250</v>
      </c>
      <c r="G167" t="n">
        <v>8</v>
      </c>
    </row>
    <row r="168">
      <c r="A168" t="inlineStr">
        <is>
          <t>Deluxe Fire Station|3</t>
        </is>
      </c>
      <c r="B168" t="inlineStr">
        <is>
          <t>Fire</t>
        </is>
      </c>
      <c r="C168" t="inlineStr">
        <is>
          <t>Deluxe Fire Station</t>
        </is>
      </c>
      <c r="D168" t="n">
        <v>3</v>
      </c>
      <c r="E168" t="n">
        <v>750</v>
      </c>
      <c r="F168" t="n">
        <v>15750</v>
      </c>
      <c r="G168" t="n">
        <v>8</v>
      </c>
    </row>
    <row r="169">
      <c r="A169" t="inlineStr">
        <is>
          <t>Deluxe Fire Station|4</t>
        </is>
      </c>
      <c r="B169" t="inlineStr">
        <is>
          <t>Fire</t>
        </is>
      </c>
      <c r="C169" t="inlineStr">
        <is>
          <t>Deluxe Fire Station</t>
        </is>
      </c>
      <c r="D169" t="n">
        <v>4</v>
      </c>
      <c r="E169" t="n">
        <v>1000</v>
      </c>
      <c r="F169" t="n">
        <v>21500</v>
      </c>
      <c r="G169" t="n">
        <v>8</v>
      </c>
    </row>
    <row r="170">
      <c r="A170" t="inlineStr">
        <is>
          <t>Deluxe Fire Station|5</t>
        </is>
      </c>
      <c r="B170" t="inlineStr">
        <is>
          <t>Fire</t>
        </is>
      </c>
      <c r="C170" t="inlineStr">
        <is>
          <t>Deluxe Fire Station</t>
        </is>
      </c>
      <c r="D170" t="n">
        <v>5</v>
      </c>
      <c r="E170" t="n">
        <v>1250</v>
      </c>
      <c r="F170" t="n">
        <v>27500</v>
      </c>
      <c r="G170" t="n">
        <v>8</v>
      </c>
    </row>
    <row r="171">
      <c r="A171" t="inlineStr">
        <is>
          <t>Deluxe Fire Station|6</t>
        </is>
      </c>
      <c r="B171" t="inlineStr">
        <is>
          <t>Fire</t>
        </is>
      </c>
      <c r="C171" t="inlineStr">
        <is>
          <t>Deluxe Fire Station</t>
        </is>
      </c>
      <c r="D171" t="n">
        <v>6</v>
      </c>
      <c r="E171" t="n">
        <v>1500</v>
      </c>
      <c r="F171" t="n">
        <v>33750</v>
      </c>
      <c r="G171" t="n">
        <v>8</v>
      </c>
    </row>
    <row r="172">
      <c r="A172" t="inlineStr">
        <is>
          <t>Deluxe Fire Station|7</t>
        </is>
      </c>
      <c r="B172" t="inlineStr">
        <is>
          <t>Fire</t>
        </is>
      </c>
      <c r="C172" t="inlineStr">
        <is>
          <t>Deluxe Fire Station</t>
        </is>
      </c>
      <c r="D172" t="n">
        <v>7</v>
      </c>
      <c r="E172" t="n">
        <v>1750</v>
      </c>
      <c r="F172" t="n">
        <v>40250</v>
      </c>
      <c r="G172" t="n">
        <v>8</v>
      </c>
    </row>
    <row r="173">
      <c r="A173" t="inlineStr">
        <is>
          <t>Deluxe Fire Station|8</t>
        </is>
      </c>
      <c r="B173" t="inlineStr">
        <is>
          <t>Fire</t>
        </is>
      </c>
      <c r="C173" t="inlineStr">
        <is>
          <t>Deluxe Fire Station</t>
        </is>
      </c>
      <c r="D173" t="n">
        <v>8</v>
      </c>
      <c r="E173" t="n">
        <v>2000</v>
      </c>
      <c r="F173" t="n">
        <v>47250</v>
      </c>
      <c r="G173" t="n">
        <v>8</v>
      </c>
    </row>
    <row r="174">
      <c r="A174" t="inlineStr">
        <is>
          <t>Small Police Station|1</t>
        </is>
      </c>
      <c r="B174" t="inlineStr">
        <is>
          <t>Police</t>
        </is>
      </c>
      <c r="C174" t="inlineStr">
        <is>
          <t>Small Police Station</t>
        </is>
      </c>
      <c r="D174" t="n">
        <v>1</v>
      </c>
      <c r="E174" t="n">
        <v>100</v>
      </c>
      <c r="F174" t="n">
        <v>3000</v>
      </c>
      <c r="G174" t="n">
        <v>3</v>
      </c>
    </row>
    <row r="175">
      <c r="A175" t="inlineStr">
        <is>
          <t>Small Police Station|2</t>
        </is>
      </c>
      <c r="B175" t="inlineStr">
        <is>
          <t>Police</t>
        </is>
      </c>
      <c r="C175" t="inlineStr">
        <is>
          <t>Small Police Station</t>
        </is>
      </c>
      <c r="D175" t="n">
        <v>2</v>
      </c>
      <c r="E175" t="n">
        <v>150</v>
      </c>
      <c r="F175" t="n">
        <v>6500</v>
      </c>
      <c r="G175" t="n">
        <v>3</v>
      </c>
    </row>
    <row r="176">
      <c r="A176" t="inlineStr">
        <is>
          <t>Small Police Station|3</t>
        </is>
      </c>
      <c r="B176" t="inlineStr">
        <is>
          <t>Police</t>
        </is>
      </c>
      <c r="C176" t="inlineStr">
        <is>
          <t>Small Police Station</t>
        </is>
      </c>
      <c r="D176" t="n">
        <v>3</v>
      </c>
      <c r="E176" t="n">
        <v>200</v>
      </c>
      <c r="F176" t="n">
        <v>11000</v>
      </c>
      <c r="G176" t="n">
        <v>3</v>
      </c>
    </row>
    <row r="177">
      <c r="A177" t="inlineStr">
        <is>
          <t>Basic Police Station|1</t>
        </is>
      </c>
      <c r="B177" t="inlineStr">
        <is>
          <t>Police</t>
        </is>
      </c>
      <c r="C177" t="inlineStr">
        <is>
          <t>Basic Police Station</t>
        </is>
      </c>
      <c r="D177" t="n">
        <v>1</v>
      </c>
      <c r="E177" t="n">
        <v>200</v>
      </c>
      <c r="F177" t="n">
        <v>4000</v>
      </c>
      <c r="G177" t="n">
        <v>5</v>
      </c>
    </row>
    <row r="178">
      <c r="A178" t="inlineStr">
        <is>
          <t>Basic Police Station|2</t>
        </is>
      </c>
      <c r="B178" t="inlineStr">
        <is>
          <t>Police</t>
        </is>
      </c>
      <c r="C178" t="inlineStr">
        <is>
          <t>Basic Police Station</t>
        </is>
      </c>
      <c r="D178" t="n">
        <v>2</v>
      </c>
      <c r="E178" t="n">
        <v>300</v>
      </c>
      <c r="F178" t="n">
        <v>8250</v>
      </c>
      <c r="G178" t="n">
        <v>5</v>
      </c>
    </row>
    <row r="179">
      <c r="A179" t="inlineStr">
        <is>
          <t>Basic Police Station|3</t>
        </is>
      </c>
      <c r="B179" t="inlineStr">
        <is>
          <t>Police</t>
        </is>
      </c>
      <c r="C179" t="inlineStr">
        <is>
          <t>Basic Police Station</t>
        </is>
      </c>
      <c r="D179" t="n">
        <v>3</v>
      </c>
      <c r="E179" t="n">
        <v>400</v>
      </c>
      <c r="F179" t="n">
        <v>12750</v>
      </c>
      <c r="G179" t="n">
        <v>5</v>
      </c>
    </row>
    <row r="180">
      <c r="A180" t="inlineStr">
        <is>
          <t>Basic Police Station|4</t>
        </is>
      </c>
      <c r="B180" t="inlineStr">
        <is>
          <t>Police</t>
        </is>
      </c>
      <c r="C180" t="inlineStr">
        <is>
          <t>Basic Police Station</t>
        </is>
      </c>
      <c r="D180" t="n">
        <v>4</v>
      </c>
      <c r="E180" t="n">
        <v>500</v>
      </c>
      <c r="F180" t="n">
        <v>17500</v>
      </c>
      <c r="G180" t="n">
        <v>5</v>
      </c>
    </row>
    <row r="181">
      <c r="A181" t="inlineStr">
        <is>
          <t>Basic Police Station|5</t>
        </is>
      </c>
      <c r="B181" t="inlineStr">
        <is>
          <t>Police</t>
        </is>
      </c>
      <c r="C181" t="inlineStr">
        <is>
          <t>Basic Police Station</t>
        </is>
      </c>
      <c r="D181" t="n">
        <v>5</v>
      </c>
      <c r="E181" t="n">
        <v>600</v>
      </c>
      <c r="F181" t="n">
        <v>22500</v>
      </c>
      <c r="G181" t="n">
        <v>5</v>
      </c>
    </row>
    <row r="182">
      <c r="A182" t="inlineStr">
        <is>
          <t>Police Precinct|1</t>
        </is>
      </c>
      <c r="B182" t="inlineStr">
        <is>
          <t>Police</t>
        </is>
      </c>
      <c r="C182" t="inlineStr">
        <is>
          <t>Police Precinct</t>
        </is>
      </c>
      <c r="D182" t="n">
        <v>1</v>
      </c>
      <c r="E182" t="n">
        <v>250</v>
      </c>
      <c r="F182" t="n">
        <v>8000</v>
      </c>
      <c r="G182" t="n">
        <v>8</v>
      </c>
    </row>
    <row r="183">
      <c r="A183" t="inlineStr">
        <is>
          <t>Police Precinct|2</t>
        </is>
      </c>
      <c r="B183" t="inlineStr">
        <is>
          <t>Police</t>
        </is>
      </c>
      <c r="C183" t="inlineStr">
        <is>
          <t>Police Precinct</t>
        </is>
      </c>
      <c r="D183" t="n">
        <v>2</v>
      </c>
      <c r="E183" t="n">
        <v>750</v>
      </c>
      <c r="F183" t="n">
        <v>16500</v>
      </c>
      <c r="G183" t="n">
        <v>8</v>
      </c>
    </row>
    <row r="184">
      <c r="A184" t="inlineStr">
        <is>
          <t>Police Precinct|3</t>
        </is>
      </c>
      <c r="B184" t="inlineStr">
        <is>
          <t>Police</t>
        </is>
      </c>
      <c r="C184" t="inlineStr">
        <is>
          <t>Police Precinct</t>
        </is>
      </c>
      <c r="D184" t="n">
        <v>3</v>
      </c>
      <c r="E184" t="n">
        <v>1000</v>
      </c>
      <c r="F184" t="n">
        <v>25500</v>
      </c>
      <c r="G184" t="n">
        <v>8</v>
      </c>
    </row>
    <row r="185">
      <c r="A185" t="inlineStr">
        <is>
          <t>Police Precinct|4</t>
        </is>
      </c>
      <c r="B185" t="inlineStr">
        <is>
          <t>Police</t>
        </is>
      </c>
      <c r="C185" t="inlineStr">
        <is>
          <t>Police Precinct</t>
        </is>
      </c>
      <c r="D185" t="n">
        <v>4</v>
      </c>
      <c r="E185" t="n">
        <v>1250</v>
      </c>
      <c r="F185" t="n">
        <v>35000</v>
      </c>
      <c r="G185" t="n">
        <v>8</v>
      </c>
    </row>
    <row r="186">
      <c r="A186" t="inlineStr">
        <is>
          <t>Police Precinct|5</t>
        </is>
      </c>
      <c r="B186" t="inlineStr">
        <is>
          <t>Police</t>
        </is>
      </c>
      <c r="C186" t="inlineStr">
        <is>
          <t>Police Precinct</t>
        </is>
      </c>
      <c r="D186" t="n">
        <v>5</v>
      </c>
      <c r="E186" t="n">
        <v>1500</v>
      </c>
      <c r="F186" t="n">
        <v>45000</v>
      </c>
      <c r="G186" t="n">
        <v>8</v>
      </c>
    </row>
    <row r="187">
      <c r="A187" t="inlineStr">
        <is>
          <t>Police Precinct|6</t>
        </is>
      </c>
      <c r="B187" t="inlineStr">
        <is>
          <t>Police</t>
        </is>
      </c>
      <c r="C187" t="inlineStr">
        <is>
          <t>Police Precinct</t>
        </is>
      </c>
      <c r="D187" t="n">
        <v>6</v>
      </c>
      <c r="E187" t="n">
        <v>1750</v>
      </c>
      <c r="F187" t="n">
        <v>55500</v>
      </c>
      <c r="G187" t="n">
        <v>8</v>
      </c>
    </row>
    <row r="188">
      <c r="A188" t="inlineStr">
        <is>
          <t>Police Precinct|7</t>
        </is>
      </c>
      <c r="B188" t="inlineStr">
        <is>
          <t>Police</t>
        </is>
      </c>
      <c r="C188" t="inlineStr">
        <is>
          <t>Police Precinct</t>
        </is>
      </c>
      <c r="D188" t="n">
        <v>7</v>
      </c>
      <c r="E188" t="n">
        <v>2000</v>
      </c>
      <c r="F188" t="n">
        <v>66500</v>
      </c>
      <c r="G188" t="n">
        <v>8</v>
      </c>
    </row>
    <row r="189">
      <c r="A189" t="inlineStr">
        <is>
          <t>Police Precinct|8</t>
        </is>
      </c>
      <c r="B189" t="inlineStr">
        <is>
          <t>Police</t>
        </is>
      </c>
      <c r="C189" t="inlineStr">
        <is>
          <t>Police Precinct</t>
        </is>
      </c>
      <c r="D189" t="n">
        <v>8</v>
      </c>
      <c r="E189" t="n">
        <v>2500</v>
      </c>
      <c r="F189" t="n">
        <v>79000</v>
      </c>
      <c r="G189" t="n">
        <v>8</v>
      </c>
    </row>
    <row r="190">
      <c r="A190" t="inlineStr">
        <is>
          <t>Small Health Clinic|1</t>
        </is>
      </c>
      <c r="B190" t="inlineStr">
        <is>
          <t>Health</t>
        </is>
      </c>
      <c r="C190" t="inlineStr">
        <is>
          <t>Small Health Clinic</t>
        </is>
      </c>
      <c r="D190" t="n">
        <v>1</v>
      </c>
      <c r="E190" t="n">
        <v>100</v>
      </c>
      <c r="F190" t="n">
        <v>4000</v>
      </c>
      <c r="G190" t="n">
        <v>3</v>
      </c>
    </row>
    <row r="191">
      <c r="A191" t="inlineStr">
        <is>
          <t>Small Health Clinic|2</t>
        </is>
      </c>
      <c r="B191" t="inlineStr">
        <is>
          <t>Health</t>
        </is>
      </c>
      <c r="C191" t="inlineStr">
        <is>
          <t>Small Health Clinic</t>
        </is>
      </c>
      <c r="D191" t="n">
        <v>2</v>
      </c>
      <c r="E191" t="n">
        <v>150</v>
      </c>
      <c r="F191" t="n">
        <v>8600</v>
      </c>
      <c r="G191" t="n">
        <v>3</v>
      </c>
    </row>
    <row r="192">
      <c r="A192" t="inlineStr">
        <is>
          <t>Small Health Clinic|3</t>
        </is>
      </c>
      <c r="B192" t="inlineStr">
        <is>
          <t>Health</t>
        </is>
      </c>
      <c r="C192" t="inlineStr">
        <is>
          <t>Small Health Clinic</t>
        </is>
      </c>
      <c r="D192" t="n">
        <v>3</v>
      </c>
      <c r="E192" t="n">
        <v>200</v>
      </c>
      <c r="F192" t="n">
        <v>14000</v>
      </c>
      <c r="G192" t="n">
        <v>3</v>
      </c>
    </row>
    <row r="193">
      <c r="A193" t="inlineStr">
        <is>
          <t>Health Clinic|1</t>
        </is>
      </c>
      <c r="B193" t="inlineStr">
        <is>
          <t>Health</t>
        </is>
      </c>
      <c r="C193" t="inlineStr">
        <is>
          <t>Health Clinic</t>
        </is>
      </c>
      <c r="D193" t="n">
        <v>1</v>
      </c>
      <c r="E193" t="n">
        <v>200</v>
      </c>
      <c r="F193" t="n">
        <v>5000</v>
      </c>
      <c r="G193" t="n">
        <v>5</v>
      </c>
    </row>
    <row r="194">
      <c r="A194" t="inlineStr">
        <is>
          <t>Health Clinic|2</t>
        </is>
      </c>
      <c r="B194" t="inlineStr">
        <is>
          <t>Health</t>
        </is>
      </c>
      <c r="C194" t="inlineStr">
        <is>
          <t>Health Clinic</t>
        </is>
      </c>
      <c r="D194" t="n">
        <v>2</v>
      </c>
      <c r="E194" t="n">
        <v>300</v>
      </c>
      <c r="F194" t="n">
        <v>10200</v>
      </c>
      <c r="G194" t="n">
        <v>5</v>
      </c>
    </row>
    <row r="195">
      <c r="A195" t="inlineStr">
        <is>
          <t>Health Clinic|3</t>
        </is>
      </c>
      <c r="B195" t="inlineStr">
        <is>
          <t>Health</t>
        </is>
      </c>
      <c r="C195" t="inlineStr">
        <is>
          <t>Health Clinic</t>
        </is>
      </c>
      <c r="D195" t="n">
        <v>3</v>
      </c>
      <c r="E195" t="n">
        <v>400</v>
      </c>
      <c r="F195" t="n">
        <v>15600</v>
      </c>
      <c r="G195" t="n">
        <v>5</v>
      </c>
    </row>
    <row r="196">
      <c r="A196" t="inlineStr">
        <is>
          <t>Health Clinic|4</t>
        </is>
      </c>
      <c r="B196" t="inlineStr">
        <is>
          <t>Health</t>
        </is>
      </c>
      <c r="C196" t="inlineStr">
        <is>
          <t>Health Clinic</t>
        </is>
      </c>
      <c r="D196" t="n">
        <v>4</v>
      </c>
      <c r="E196" t="n">
        <v>500</v>
      </c>
      <c r="F196" t="n">
        <v>21200</v>
      </c>
      <c r="G196" t="n">
        <v>5</v>
      </c>
    </row>
    <row r="197">
      <c r="A197" t="inlineStr">
        <is>
          <t>Health Clinic|5</t>
        </is>
      </c>
      <c r="B197" t="inlineStr">
        <is>
          <t>Health</t>
        </is>
      </c>
      <c r="C197" t="inlineStr">
        <is>
          <t>Health Clinic</t>
        </is>
      </c>
      <c r="D197" t="n">
        <v>5</v>
      </c>
      <c r="E197" t="n">
        <v>600</v>
      </c>
      <c r="F197" t="n">
        <v>27200</v>
      </c>
      <c r="G197" t="n">
        <v>5</v>
      </c>
    </row>
    <row r="198">
      <c r="A198" t="inlineStr">
        <is>
          <t>Hospital|1</t>
        </is>
      </c>
      <c r="B198" t="inlineStr">
        <is>
          <t>Health</t>
        </is>
      </c>
      <c r="C198" t="inlineStr">
        <is>
          <t>Hospital</t>
        </is>
      </c>
      <c r="D198" t="n">
        <v>1</v>
      </c>
      <c r="E198" t="n">
        <v>250</v>
      </c>
      <c r="F198" t="n">
        <v>8000</v>
      </c>
      <c r="G198" t="n">
        <v>8</v>
      </c>
    </row>
    <row r="199">
      <c r="A199" t="inlineStr">
        <is>
          <t>Hospital|2</t>
        </is>
      </c>
      <c r="B199" t="inlineStr">
        <is>
          <t>Health</t>
        </is>
      </c>
      <c r="C199" t="inlineStr">
        <is>
          <t>Hospital</t>
        </is>
      </c>
      <c r="D199" t="n">
        <v>2</v>
      </c>
      <c r="E199" t="n">
        <v>750</v>
      </c>
      <c r="F199" t="n">
        <v>16300</v>
      </c>
      <c r="G199" t="n">
        <v>8</v>
      </c>
    </row>
    <row r="200">
      <c r="A200" t="inlineStr">
        <is>
          <t>Hospital|3</t>
        </is>
      </c>
      <c r="B200" t="inlineStr">
        <is>
          <t>Health</t>
        </is>
      </c>
      <c r="C200" t="inlineStr">
        <is>
          <t>Hospital</t>
        </is>
      </c>
      <c r="D200" t="n">
        <v>3</v>
      </c>
      <c r="E200" t="n">
        <v>1000</v>
      </c>
      <c r="F200" t="n">
        <v>24900</v>
      </c>
      <c r="G200" t="n">
        <v>8</v>
      </c>
    </row>
    <row r="201">
      <c r="A201" t="inlineStr">
        <is>
          <t>Hospital|4</t>
        </is>
      </c>
      <c r="B201" t="inlineStr">
        <is>
          <t>Health</t>
        </is>
      </c>
      <c r="C201" t="inlineStr">
        <is>
          <t>Hospital</t>
        </is>
      </c>
      <c r="D201" t="n">
        <v>4</v>
      </c>
      <c r="E201" t="n">
        <v>1250</v>
      </c>
      <c r="F201" t="n">
        <v>33800</v>
      </c>
      <c r="G201" t="n">
        <v>8</v>
      </c>
    </row>
    <row r="202">
      <c r="A202" t="inlineStr">
        <is>
          <t>Hospital|5</t>
        </is>
      </c>
      <c r="B202" t="inlineStr">
        <is>
          <t>Health</t>
        </is>
      </c>
      <c r="C202" t="inlineStr">
        <is>
          <t>Hospital</t>
        </is>
      </c>
      <c r="D202" t="n">
        <v>5</v>
      </c>
      <c r="E202" t="n">
        <v>1500</v>
      </c>
      <c r="F202" t="n">
        <v>43000</v>
      </c>
      <c r="G202" t="n">
        <v>8</v>
      </c>
    </row>
    <row r="203">
      <c r="A203" t="inlineStr">
        <is>
          <t>Hospital|6</t>
        </is>
      </c>
      <c r="B203" t="inlineStr">
        <is>
          <t>Health</t>
        </is>
      </c>
      <c r="C203" t="inlineStr">
        <is>
          <t>Hospital</t>
        </is>
      </c>
      <c r="D203" t="n">
        <v>6</v>
      </c>
      <c r="E203" t="n">
        <v>1750</v>
      </c>
      <c r="F203" t="n">
        <v>52500</v>
      </c>
      <c r="G203" t="n">
        <v>8</v>
      </c>
    </row>
    <row r="204">
      <c r="A204" t="inlineStr">
        <is>
          <t>Hospital|7</t>
        </is>
      </c>
      <c r="B204" t="inlineStr">
        <is>
          <t>Health</t>
        </is>
      </c>
      <c r="C204" t="inlineStr">
        <is>
          <t>Hospital</t>
        </is>
      </c>
      <c r="D204" t="n">
        <v>7</v>
      </c>
      <c r="E204" t="n">
        <v>2000</v>
      </c>
      <c r="F204" t="n">
        <v>62300</v>
      </c>
      <c r="G204" t="n">
        <v>8</v>
      </c>
    </row>
    <row r="205">
      <c r="A205" t="inlineStr">
        <is>
          <t>Hospital|8</t>
        </is>
      </c>
      <c r="B205" t="inlineStr">
        <is>
          <t>Health</t>
        </is>
      </c>
      <c r="C205" t="inlineStr">
        <is>
          <t>Hospital</t>
        </is>
      </c>
      <c r="D205" t="n">
        <v>8</v>
      </c>
      <c r="E205" t="n">
        <v>2500</v>
      </c>
      <c r="F205" t="n">
        <v>72300</v>
      </c>
      <c r="G205" t="n">
        <v>8</v>
      </c>
    </row>
    <row r="206">
      <c r="A206" t="inlineStr">
        <is>
          <t>Small Regional Service|1</t>
        </is>
      </c>
      <c r="B206" t="inlineStr">
        <is>
          <t>Regional Services</t>
        </is>
      </c>
      <c r="C206" t="inlineStr">
        <is>
          <t>Small Regional Service</t>
        </is>
      </c>
      <c r="D206" t="n">
        <v>1</v>
      </c>
      <c r="E206" t="n">
        <v>50</v>
      </c>
      <c r="F206" t="n">
        <v>100</v>
      </c>
      <c r="G206" t="n">
        <v>5</v>
      </c>
    </row>
    <row r="207">
      <c r="A207" t="inlineStr">
        <is>
          <t>Small Regional Service|2</t>
        </is>
      </c>
      <c r="B207" t="inlineStr">
        <is>
          <t>Regional Services</t>
        </is>
      </c>
      <c r="C207" t="inlineStr">
        <is>
          <t>Small Regional Service</t>
        </is>
      </c>
      <c r="D207" t="n">
        <v>2</v>
      </c>
      <c r="E207" t="n">
        <v>125</v>
      </c>
      <c r="F207" t="n">
        <v>225</v>
      </c>
      <c r="G207" t="n">
        <v>5</v>
      </c>
    </row>
    <row r="208">
      <c r="A208" t="inlineStr">
        <is>
          <t>Small Regional Service|3</t>
        </is>
      </c>
      <c r="B208" t="inlineStr">
        <is>
          <t>Regional Services</t>
        </is>
      </c>
      <c r="C208" t="inlineStr">
        <is>
          <t>Small Regional Service</t>
        </is>
      </c>
      <c r="D208" t="n">
        <v>3</v>
      </c>
      <c r="E208" t="n">
        <v>175</v>
      </c>
      <c r="F208" t="n">
        <v>425</v>
      </c>
      <c r="G208" t="n">
        <v>5</v>
      </c>
    </row>
    <row r="209">
      <c r="A209" t="inlineStr">
        <is>
          <t>Small Regional Service|4</t>
        </is>
      </c>
      <c r="B209" t="inlineStr">
        <is>
          <t>Regional Services</t>
        </is>
      </c>
      <c r="C209" t="inlineStr">
        <is>
          <t>Small Regional Service</t>
        </is>
      </c>
      <c r="D209" t="n">
        <v>4</v>
      </c>
      <c r="E209" t="n">
        <v>225</v>
      </c>
      <c r="F209" t="n">
        <v>650</v>
      </c>
      <c r="G209" t="n">
        <v>5</v>
      </c>
    </row>
    <row r="210">
      <c r="A210" t="inlineStr">
        <is>
          <t>Small Regional Service|5</t>
        </is>
      </c>
      <c r="B210" t="inlineStr">
        <is>
          <t>Regional Services</t>
        </is>
      </c>
      <c r="C210" t="inlineStr">
        <is>
          <t>Small Regional Service</t>
        </is>
      </c>
      <c r="D210" t="n">
        <v>5</v>
      </c>
      <c r="E210" t="n">
        <v>300</v>
      </c>
      <c r="F210" t="n">
        <v>900</v>
      </c>
      <c r="G210" t="n">
        <v>5</v>
      </c>
    </row>
    <row r="211">
      <c r="A211" t="inlineStr">
        <is>
          <t>Medium Regional Service|1</t>
        </is>
      </c>
      <c r="B211" t="inlineStr">
        <is>
          <t>Regional Services</t>
        </is>
      </c>
      <c r="C211" t="inlineStr">
        <is>
          <t>Medium Regional Service</t>
        </is>
      </c>
      <c r="D211" t="n">
        <v>1</v>
      </c>
      <c r="E211" t="n">
        <v>100</v>
      </c>
      <c r="F211" t="n">
        <v>150</v>
      </c>
      <c r="G211" t="n">
        <v>8</v>
      </c>
    </row>
    <row r="212">
      <c r="A212" t="inlineStr">
        <is>
          <t>Medium Regional Service|2</t>
        </is>
      </c>
      <c r="B212" t="inlineStr">
        <is>
          <t>Regional Services</t>
        </is>
      </c>
      <c r="C212" t="inlineStr">
        <is>
          <t>Medium Regional Service</t>
        </is>
      </c>
      <c r="D212" t="n">
        <v>2</v>
      </c>
      <c r="E212" t="n">
        <v>200</v>
      </c>
      <c r="F212" t="n">
        <v>325</v>
      </c>
      <c r="G212" t="n">
        <v>8</v>
      </c>
    </row>
    <row r="213">
      <c r="A213" t="inlineStr">
        <is>
          <t>Medium Regional Service|3</t>
        </is>
      </c>
      <c r="B213" t="inlineStr">
        <is>
          <t>Regional Services</t>
        </is>
      </c>
      <c r="C213" t="inlineStr">
        <is>
          <t>Medium Regional Service</t>
        </is>
      </c>
      <c r="D213" t="n">
        <v>3</v>
      </c>
      <c r="E213" t="n">
        <v>275</v>
      </c>
      <c r="F213" t="n">
        <v>525</v>
      </c>
      <c r="G213" t="n">
        <v>8</v>
      </c>
    </row>
    <row r="214">
      <c r="A214" t="inlineStr">
        <is>
          <t>Medium Regional Service|4</t>
        </is>
      </c>
      <c r="B214" t="inlineStr">
        <is>
          <t>Regional Services</t>
        </is>
      </c>
      <c r="C214" t="inlineStr">
        <is>
          <t>Medium Regional Service</t>
        </is>
      </c>
      <c r="D214" t="n">
        <v>4</v>
      </c>
      <c r="E214" t="n">
        <v>350</v>
      </c>
      <c r="F214" t="n">
        <v>750</v>
      </c>
      <c r="G214" t="n">
        <v>8</v>
      </c>
    </row>
    <row r="215">
      <c r="A215" t="inlineStr">
        <is>
          <t>Medium Regional Service|5</t>
        </is>
      </c>
      <c r="B215" t="inlineStr">
        <is>
          <t>Regional Services</t>
        </is>
      </c>
      <c r="C215" t="inlineStr">
        <is>
          <t>Medium Regional Service</t>
        </is>
      </c>
      <c r="D215" t="n">
        <v>5</v>
      </c>
      <c r="E215" t="n">
        <v>425</v>
      </c>
      <c r="F215" t="n">
        <v>1000</v>
      </c>
      <c r="G215" t="n">
        <v>8</v>
      </c>
    </row>
    <row r="216">
      <c r="A216" t="inlineStr">
        <is>
          <t>Medium Regional Service|6</t>
        </is>
      </c>
      <c r="B216" t="inlineStr">
        <is>
          <t>Regional Services</t>
        </is>
      </c>
      <c r="C216" t="inlineStr">
        <is>
          <t>Medium Regional Service</t>
        </is>
      </c>
      <c r="D216" t="n">
        <v>6</v>
      </c>
      <c r="E216" t="n">
        <v>500</v>
      </c>
      <c r="F216" t="n">
        <v>1275</v>
      </c>
      <c r="G216" t="n">
        <v>8</v>
      </c>
    </row>
    <row r="217">
      <c r="A217" t="inlineStr">
        <is>
          <t>Medium Regional Service|7</t>
        </is>
      </c>
      <c r="B217" t="inlineStr">
        <is>
          <t>Regional Services</t>
        </is>
      </c>
      <c r="C217" t="inlineStr">
        <is>
          <t>Medium Regional Service</t>
        </is>
      </c>
      <c r="D217" t="n">
        <v>7</v>
      </c>
      <c r="E217" t="n">
        <v>550</v>
      </c>
      <c r="F217" t="n">
        <v>1575</v>
      </c>
      <c r="G217" t="n">
        <v>8</v>
      </c>
    </row>
    <row r="218">
      <c r="A218" t="inlineStr">
        <is>
          <t>Medium Regional Service|8</t>
        </is>
      </c>
      <c r="B218" t="inlineStr">
        <is>
          <t>Regional Services</t>
        </is>
      </c>
      <c r="C218" t="inlineStr">
        <is>
          <t>Medium Regional Service</t>
        </is>
      </c>
      <c r="D218" t="n">
        <v>8</v>
      </c>
      <c r="E218" t="n">
        <v>600</v>
      </c>
      <c r="F218" t="n">
        <v>1925</v>
      </c>
      <c r="G218" t="n">
        <v>8</v>
      </c>
    </row>
    <row r="219">
      <c r="A219" t="inlineStr">
        <is>
          <t>Large Regional Service|1</t>
        </is>
      </c>
      <c r="B219" t="inlineStr">
        <is>
          <t>Regional Services</t>
        </is>
      </c>
      <c r="C219" t="inlineStr">
        <is>
          <t>Large Regional Service</t>
        </is>
      </c>
      <c r="D219" t="n">
        <v>1</v>
      </c>
      <c r="E219" t="n">
        <v>250</v>
      </c>
      <c r="F219" t="n">
        <v>300</v>
      </c>
      <c r="G219" t="n">
        <v>10</v>
      </c>
    </row>
    <row r="220">
      <c r="A220" t="inlineStr">
        <is>
          <t>Large Regional Service|2</t>
        </is>
      </c>
      <c r="B220" t="inlineStr">
        <is>
          <t>Regional Services</t>
        </is>
      </c>
      <c r="C220" t="inlineStr">
        <is>
          <t>Large Regional Service</t>
        </is>
      </c>
      <c r="D220" t="n">
        <v>2</v>
      </c>
      <c r="E220" t="n">
        <v>600</v>
      </c>
      <c r="F220" t="n">
        <v>650</v>
      </c>
      <c r="G220" t="n">
        <v>10</v>
      </c>
    </row>
    <row r="221">
      <c r="A221" t="inlineStr">
        <is>
          <t>Large Regional Service|3</t>
        </is>
      </c>
      <c r="B221" t="inlineStr">
        <is>
          <t>Regional Services</t>
        </is>
      </c>
      <c r="C221" t="inlineStr">
        <is>
          <t>Large Regional Service</t>
        </is>
      </c>
      <c r="D221" t="n">
        <v>3</v>
      </c>
      <c r="E221" t="n">
        <v>900</v>
      </c>
      <c r="F221" t="n">
        <v>1050</v>
      </c>
      <c r="G221" t="n">
        <v>10</v>
      </c>
    </row>
    <row r="222">
      <c r="A222" t="inlineStr">
        <is>
          <t>Large Regional Service|4</t>
        </is>
      </c>
      <c r="B222" t="inlineStr">
        <is>
          <t>Regional Services</t>
        </is>
      </c>
      <c r="C222" t="inlineStr">
        <is>
          <t>Large Regional Service</t>
        </is>
      </c>
      <c r="D222" t="n">
        <v>4</v>
      </c>
      <c r="E222" t="n">
        <v>1200</v>
      </c>
      <c r="F222" t="n">
        <v>1500</v>
      </c>
      <c r="G222" t="n">
        <v>10</v>
      </c>
    </row>
    <row r="223">
      <c r="A223" t="inlineStr">
        <is>
          <t>Large Regional Service|5</t>
        </is>
      </c>
      <c r="B223" t="inlineStr">
        <is>
          <t>Regional Services</t>
        </is>
      </c>
      <c r="C223" t="inlineStr">
        <is>
          <t>Large Regional Service</t>
        </is>
      </c>
      <c r="D223" t="n">
        <v>5</v>
      </c>
      <c r="E223" t="n">
        <v>1500</v>
      </c>
      <c r="F223" t="n">
        <v>2000</v>
      </c>
      <c r="G223" t="n">
        <v>10</v>
      </c>
    </row>
    <row r="224">
      <c r="A224" t="inlineStr">
        <is>
          <t>Large Regional Service|6</t>
        </is>
      </c>
      <c r="B224" t="inlineStr">
        <is>
          <t>Regional Services</t>
        </is>
      </c>
      <c r="C224" t="inlineStr">
        <is>
          <t>Large Regional Service</t>
        </is>
      </c>
      <c r="D224" t="n">
        <v>6</v>
      </c>
      <c r="E224" t="n">
        <v>1800</v>
      </c>
      <c r="F224" t="n">
        <v>2550</v>
      </c>
      <c r="G224" t="n">
        <v>10</v>
      </c>
    </row>
    <row r="225">
      <c r="A225" t="inlineStr">
        <is>
          <t>Large Regional Service|7</t>
        </is>
      </c>
      <c r="B225" t="inlineStr">
        <is>
          <t>Regional Services</t>
        </is>
      </c>
      <c r="C225" t="inlineStr">
        <is>
          <t>Large Regional Service</t>
        </is>
      </c>
      <c r="D225" t="n">
        <v>7</v>
      </c>
      <c r="E225" t="n">
        <v>2100</v>
      </c>
      <c r="F225" t="n">
        <v>3150</v>
      </c>
      <c r="G225" t="n">
        <v>10</v>
      </c>
    </row>
    <row r="226">
      <c r="A226" t="inlineStr">
        <is>
          <t>Large Regional Service|8</t>
        </is>
      </c>
      <c r="B226" t="inlineStr">
        <is>
          <t>Regional Services</t>
        </is>
      </c>
      <c r="C226" t="inlineStr">
        <is>
          <t>Large Regional Service</t>
        </is>
      </c>
      <c r="D226" t="n">
        <v>8</v>
      </c>
      <c r="E226" t="n">
        <v>2400</v>
      </c>
      <c r="F226" t="n">
        <v>3800</v>
      </c>
      <c r="G226" t="n">
        <v>10</v>
      </c>
    </row>
    <row r="227">
      <c r="A227" t="inlineStr">
        <is>
          <t>Large Regional Service|9</t>
        </is>
      </c>
      <c r="B227" t="inlineStr">
        <is>
          <t>Regional Services</t>
        </is>
      </c>
      <c r="C227" t="inlineStr">
        <is>
          <t>Large Regional Service</t>
        </is>
      </c>
      <c r="D227" t="n">
        <v>9</v>
      </c>
      <c r="E227" t="n">
        <v>2700</v>
      </c>
      <c r="F227" t="n">
        <v>4500</v>
      </c>
      <c r="G227" t="n">
        <v>10</v>
      </c>
    </row>
    <row r="228">
      <c r="A228" t="inlineStr">
        <is>
          <t>Large Regional Service|10</t>
        </is>
      </c>
      <c r="B228" t="inlineStr">
        <is>
          <t>Regional Services</t>
        </is>
      </c>
      <c r="C228" t="inlineStr">
        <is>
          <t>Large Regional Service</t>
        </is>
      </c>
      <c r="D228" t="n">
        <v>10</v>
      </c>
      <c r="E228" t="n">
        <v>3000</v>
      </c>
      <c r="F228" t="n">
        <v>5300</v>
      </c>
      <c r="G228" t="n">
        <v>10</v>
      </c>
    </row>
    <row r="229">
      <c r="A229" t="inlineStr">
        <is>
          <t>Small ControlNet|1</t>
        </is>
      </c>
      <c r="B229" t="inlineStr">
        <is>
          <t>ControlNet</t>
        </is>
      </c>
      <c r="C229" t="inlineStr">
        <is>
          <t>Small ControlNet</t>
        </is>
      </c>
      <c r="D229" t="n">
        <v>1</v>
      </c>
      <c r="E229" t="n">
        <v>50</v>
      </c>
      <c r="F229" t="n">
        <v>1500</v>
      </c>
      <c r="G229" t="n">
        <v>10</v>
      </c>
    </row>
    <row r="230">
      <c r="A230" t="inlineStr">
        <is>
          <t>Small ControlNet|2</t>
        </is>
      </c>
      <c r="B230" t="inlineStr">
        <is>
          <t>ControlNet</t>
        </is>
      </c>
      <c r="C230" t="inlineStr">
        <is>
          <t>Small ControlNet</t>
        </is>
      </c>
      <c r="D230" t="n">
        <v>2</v>
      </c>
      <c r="E230" t="n">
        <v>75</v>
      </c>
      <c r="F230" t="n">
        <v>3300</v>
      </c>
      <c r="G230" t="n">
        <v>10</v>
      </c>
    </row>
    <row r="231">
      <c r="A231" t="inlineStr">
        <is>
          <t>Small ControlNet|3</t>
        </is>
      </c>
      <c r="B231" t="inlineStr">
        <is>
          <t>ControlNet</t>
        </is>
      </c>
      <c r="C231" t="inlineStr">
        <is>
          <t>Small ControlNet</t>
        </is>
      </c>
      <c r="D231" t="n">
        <v>3</v>
      </c>
      <c r="E231" t="n">
        <v>100</v>
      </c>
      <c r="F231" t="n">
        <v>5400</v>
      </c>
      <c r="G231" t="n">
        <v>10</v>
      </c>
    </row>
    <row r="232">
      <c r="A232" t="inlineStr">
        <is>
          <t>Small ControlNet|4</t>
        </is>
      </c>
      <c r="B232" t="inlineStr">
        <is>
          <t>ControlNet</t>
        </is>
      </c>
      <c r="C232" t="inlineStr">
        <is>
          <t>Small ControlNet</t>
        </is>
      </c>
      <c r="D232" t="n">
        <v>4</v>
      </c>
      <c r="E232" t="n">
        <v>125</v>
      </c>
      <c r="F232" t="n">
        <v>7800</v>
      </c>
      <c r="G232" t="n">
        <v>10</v>
      </c>
    </row>
    <row r="233">
      <c r="A233" t="inlineStr">
        <is>
          <t>Small ControlNet|5</t>
        </is>
      </c>
      <c r="B233" t="inlineStr">
        <is>
          <t>ControlNet</t>
        </is>
      </c>
      <c r="C233" t="inlineStr">
        <is>
          <t>Small ControlNet</t>
        </is>
      </c>
      <c r="D233" t="n">
        <v>5</v>
      </c>
      <c r="E233" t="n">
        <v>150</v>
      </c>
      <c r="F233" t="n">
        <v>10500</v>
      </c>
      <c r="G233" t="n">
        <v>10</v>
      </c>
    </row>
    <row r="234">
      <c r="A234" t="inlineStr">
        <is>
          <t>Small ControlNet|6</t>
        </is>
      </c>
      <c r="B234" t="inlineStr">
        <is>
          <t>ControlNet</t>
        </is>
      </c>
      <c r="C234" t="inlineStr">
        <is>
          <t>Small ControlNet</t>
        </is>
      </c>
      <c r="D234" t="n">
        <v>6</v>
      </c>
      <c r="E234" t="n">
        <v>175</v>
      </c>
      <c r="F234" t="n">
        <v>13500</v>
      </c>
      <c r="G234" t="n">
        <v>10</v>
      </c>
    </row>
    <row r="235">
      <c r="A235" t="inlineStr">
        <is>
          <t>Small ControlNet|7</t>
        </is>
      </c>
      <c r="B235" t="inlineStr">
        <is>
          <t>ControlNet</t>
        </is>
      </c>
      <c r="C235" t="inlineStr">
        <is>
          <t>Small ControlNet</t>
        </is>
      </c>
      <c r="D235" t="n">
        <v>7</v>
      </c>
      <c r="E235" t="n">
        <v>200</v>
      </c>
      <c r="F235" t="n">
        <v>16800</v>
      </c>
      <c r="G235" t="n">
        <v>10</v>
      </c>
    </row>
    <row r="236">
      <c r="A236" t="inlineStr">
        <is>
          <t>Small ControlNet|8</t>
        </is>
      </c>
      <c r="B236" t="inlineStr">
        <is>
          <t>ControlNet</t>
        </is>
      </c>
      <c r="C236" t="inlineStr">
        <is>
          <t>Small ControlNet</t>
        </is>
      </c>
      <c r="D236" t="n">
        <v>8</v>
      </c>
      <c r="E236" t="n">
        <v>225</v>
      </c>
      <c r="F236" t="n">
        <v>20400</v>
      </c>
      <c r="G236" t="n">
        <v>10</v>
      </c>
    </row>
    <row r="237">
      <c r="A237" t="inlineStr">
        <is>
          <t>Small ControlNet|9</t>
        </is>
      </c>
      <c r="B237" t="inlineStr">
        <is>
          <t>ControlNet</t>
        </is>
      </c>
      <c r="C237" t="inlineStr">
        <is>
          <t>Small ControlNet</t>
        </is>
      </c>
      <c r="D237" t="n">
        <v>9</v>
      </c>
      <c r="E237" t="n">
        <v>250</v>
      </c>
      <c r="F237" t="n">
        <v>24300</v>
      </c>
      <c r="G237" t="n">
        <v>10</v>
      </c>
    </row>
    <row r="238">
      <c r="A238" t="inlineStr">
        <is>
          <t>Small ControlNet|10</t>
        </is>
      </c>
      <c r="B238" t="inlineStr">
        <is>
          <t>ControlNet</t>
        </is>
      </c>
      <c r="C238" t="inlineStr">
        <is>
          <t>Small ControlNet</t>
        </is>
      </c>
      <c r="D238" t="n">
        <v>10</v>
      </c>
      <c r="E238" t="n">
        <v>300</v>
      </c>
      <c r="F238" t="n">
        <v>28800</v>
      </c>
      <c r="G238" t="n">
        <v>10</v>
      </c>
    </row>
    <row r="239">
      <c r="A239" t="inlineStr">
        <is>
          <t>Basic ControlNet|1</t>
        </is>
      </c>
      <c r="B239" t="inlineStr">
        <is>
          <t>ControlNet</t>
        </is>
      </c>
      <c r="C239" t="inlineStr">
        <is>
          <t>Basic ControlNet</t>
        </is>
      </c>
      <c r="D239" t="n">
        <v>1</v>
      </c>
      <c r="E239" t="n">
        <v>150</v>
      </c>
      <c r="F239" t="n">
        <v>5000</v>
      </c>
      <c r="G239" t="n">
        <v>10</v>
      </c>
    </row>
    <row r="240">
      <c r="A240" t="inlineStr">
        <is>
          <t>Basic ControlNet|2</t>
        </is>
      </c>
      <c r="B240" t="inlineStr">
        <is>
          <t>ControlNet</t>
        </is>
      </c>
      <c r="C240" t="inlineStr">
        <is>
          <t>Basic ControlNet</t>
        </is>
      </c>
      <c r="D240" t="n">
        <v>2</v>
      </c>
      <c r="E240" t="n">
        <v>200</v>
      </c>
      <c r="F240" t="n">
        <v>10500</v>
      </c>
      <c r="G240" t="n">
        <v>10</v>
      </c>
    </row>
    <row r="241">
      <c r="A241" t="inlineStr">
        <is>
          <t>Basic ControlNet|3</t>
        </is>
      </c>
      <c r="B241" t="inlineStr">
        <is>
          <t>ControlNet</t>
        </is>
      </c>
      <c r="C241" t="inlineStr">
        <is>
          <t>Basic ControlNet</t>
        </is>
      </c>
      <c r="D241" t="n">
        <v>3</v>
      </c>
      <c r="E241" t="n">
        <v>250</v>
      </c>
      <c r="F241" t="n">
        <v>16500</v>
      </c>
      <c r="G241" t="n">
        <v>10</v>
      </c>
    </row>
    <row r="242">
      <c r="A242" t="inlineStr">
        <is>
          <t>Basic ControlNet|4</t>
        </is>
      </c>
      <c r="B242" t="inlineStr">
        <is>
          <t>ControlNet</t>
        </is>
      </c>
      <c r="C242" t="inlineStr">
        <is>
          <t>Basic ControlNet</t>
        </is>
      </c>
      <c r="D242" t="n">
        <v>4</v>
      </c>
      <c r="E242" t="n">
        <v>300</v>
      </c>
      <c r="F242" t="n">
        <v>23000</v>
      </c>
      <c r="G242" t="n">
        <v>10</v>
      </c>
    </row>
    <row r="243">
      <c r="A243" t="inlineStr">
        <is>
          <t>Basic ControlNet|5</t>
        </is>
      </c>
      <c r="B243" t="inlineStr">
        <is>
          <t>ControlNet</t>
        </is>
      </c>
      <c r="C243" t="inlineStr">
        <is>
          <t>Basic ControlNet</t>
        </is>
      </c>
      <c r="D243" t="n">
        <v>5</v>
      </c>
      <c r="E243" t="n">
        <v>350</v>
      </c>
      <c r="F243" t="n">
        <v>30000</v>
      </c>
      <c r="G243" t="n">
        <v>10</v>
      </c>
    </row>
    <row r="244">
      <c r="A244" t="inlineStr">
        <is>
          <t>Basic ControlNet|6</t>
        </is>
      </c>
      <c r="B244" t="inlineStr">
        <is>
          <t>ControlNet</t>
        </is>
      </c>
      <c r="C244" t="inlineStr">
        <is>
          <t>Basic ControlNet</t>
        </is>
      </c>
      <c r="D244" t="n">
        <v>6</v>
      </c>
      <c r="E244" t="n">
        <v>400</v>
      </c>
      <c r="F244" t="n">
        <v>37500</v>
      </c>
      <c r="G244" t="n">
        <v>10</v>
      </c>
    </row>
    <row r="245">
      <c r="A245" t="inlineStr">
        <is>
          <t>Basic ControlNet|7</t>
        </is>
      </c>
      <c r="B245" t="inlineStr">
        <is>
          <t>ControlNet</t>
        </is>
      </c>
      <c r="C245" t="inlineStr">
        <is>
          <t>Basic ControlNet</t>
        </is>
      </c>
      <c r="D245" t="n">
        <v>7</v>
      </c>
      <c r="E245" t="n">
        <v>450</v>
      </c>
      <c r="F245" t="n">
        <v>45500</v>
      </c>
      <c r="G245" t="n">
        <v>10</v>
      </c>
    </row>
    <row r="246">
      <c r="A246" t="inlineStr">
        <is>
          <t>Basic ControlNet|8</t>
        </is>
      </c>
      <c r="B246" t="inlineStr">
        <is>
          <t>ControlNet</t>
        </is>
      </c>
      <c r="C246" t="inlineStr">
        <is>
          <t>Basic ControlNet</t>
        </is>
      </c>
      <c r="D246" t="n">
        <v>8</v>
      </c>
      <c r="E246" t="n">
        <v>500</v>
      </c>
      <c r="F246" t="n">
        <v>54000</v>
      </c>
      <c r="G246" t="n">
        <v>10</v>
      </c>
    </row>
    <row r="247">
      <c r="A247" t="inlineStr">
        <is>
          <t>Basic ControlNet|9</t>
        </is>
      </c>
      <c r="B247" t="inlineStr">
        <is>
          <t>ControlNet</t>
        </is>
      </c>
      <c r="C247" t="inlineStr">
        <is>
          <t>Basic ControlNet</t>
        </is>
      </c>
      <c r="D247" t="n">
        <v>9</v>
      </c>
      <c r="E247" t="n">
        <v>550</v>
      </c>
      <c r="F247" t="n">
        <v>63000</v>
      </c>
      <c r="G247" t="n">
        <v>10</v>
      </c>
    </row>
    <row r="248">
      <c r="A248" t="inlineStr">
        <is>
          <t>Basic ControlNet|10</t>
        </is>
      </c>
      <c r="B248" t="inlineStr">
        <is>
          <t>ControlNet</t>
        </is>
      </c>
      <c r="C248" t="inlineStr">
        <is>
          <t>Basic ControlNet</t>
        </is>
      </c>
      <c r="D248" t="n">
        <v>10</v>
      </c>
      <c r="E248" t="n">
        <v>600</v>
      </c>
      <c r="F248" t="n">
        <v>73000</v>
      </c>
      <c r="G248" t="n">
        <v>10</v>
      </c>
    </row>
    <row r="249">
      <c r="A249" t="inlineStr">
        <is>
          <t>Deluxe ControlNet|1</t>
        </is>
      </c>
      <c r="B249" t="inlineStr">
        <is>
          <t>ControlNet</t>
        </is>
      </c>
      <c r="C249" t="inlineStr">
        <is>
          <t>Deluxe ControlNet</t>
        </is>
      </c>
      <c r="D249" t="n">
        <v>1</v>
      </c>
      <c r="E249" t="n">
        <v>250</v>
      </c>
      <c r="F249" t="n">
        <v>15000</v>
      </c>
      <c r="G249" t="n">
        <v>10</v>
      </c>
    </row>
    <row r="250">
      <c r="A250" t="inlineStr">
        <is>
          <t>Deluxe ControlNet|2</t>
        </is>
      </c>
      <c r="B250" t="inlineStr">
        <is>
          <t>ControlNet</t>
        </is>
      </c>
      <c r="C250" t="inlineStr">
        <is>
          <t>Deluxe ControlNet</t>
        </is>
      </c>
      <c r="D250" t="n">
        <v>2</v>
      </c>
      <c r="E250" t="n">
        <v>500</v>
      </c>
      <c r="F250" t="n">
        <v>31000</v>
      </c>
      <c r="G250" t="n">
        <v>10</v>
      </c>
    </row>
    <row r="251">
      <c r="A251" t="inlineStr">
        <is>
          <t>Deluxe ControlNet|3</t>
        </is>
      </c>
      <c r="B251" t="inlineStr">
        <is>
          <t>ControlNet</t>
        </is>
      </c>
      <c r="C251" t="inlineStr">
        <is>
          <t>Deluxe ControlNet</t>
        </is>
      </c>
      <c r="D251" t="n">
        <v>3</v>
      </c>
      <c r="E251" t="n">
        <v>750</v>
      </c>
      <c r="F251" t="n">
        <v>48000</v>
      </c>
      <c r="G251" t="n">
        <v>10</v>
      </c>
    </row>
    <row r="252">
      <c r="A252" t="inlineStr">
        <is>
          <t>Deluxe ControlNet|4</t>
        </is>
      </c>
      <c r="B252" t="inlineStr">
        <is>
          <t>ControlNet</t>
        </is>
      </c>
      <c r="C252" t="inlineStr">
        <is>
          <t>Deluxe ControlNet</t>
        </is>
      </c>
      <c r="D252" t="n">
        <v>4</v>
      </c>
      <c r="E252" t="n">
        <v>1000</v>
      </c>
      <c r="F252" t="n">
        <v>66000</v>
      </c>
      <c r="G252" t="n">
        <v>10</v>
      </c>
    </row>
    <row r="253">
      <c r="A253" t="inlineStr">
        <is>
          <t>Deluxe ControlNet|5</t>
        </is>
      </c>
      <c r="B253" t="inlineStr">
        <is>
          <t>ControlNet</t>
        </is>
      </c>
      <c r="C253" t="inlineStr">
        <is>
          <t>Deluxe ControlNet</t>
        </is>
      </c>
      <c r="D253" t="n">
        <v>5</v>
      </c>
      <c r="E253" t="n">
        <v>1250</v>
      </c>
      <c r="F253" t="n">
        <v>85000</v>
      </c>
      <c r="G253" t="n">
        <v>10</v>
      </c>
    </row>
    <row r="254">
      <c r="A254" t="inlineStr">
        <is>
          <t>Deluxe ControlNet|6</t>
        </is>
      </c>
      <c r="B254" t="inlineStr">
        <is>
          <t>ControlNet</t>
        </is>
      </c>
      <c r="C254" t="inlineStr">
        <is>
          <t>Deluxe ControlNet</t>
        </is>
      </c>
      <c r="D254" t="n">
        <v>6</v>
      </c>
      <c r="E254" t="n">
        <v>1500</v>
      </c>
      <c r="F254" t="n">
        <v>105000</v>
      </c>
      <c r="G254" t="n">
        <v>10</v>
      </c>
    </row>
    <row r="255">
      <c r="A255" t="inlineStr">
        <is>
          <t>Deluxe ControlNet|7</t>
        </is>
      </c>
      <c r="B255" t="inlineStr">
        <is>
          <t>ControlNet</t>
        </is>
      </c>
      <c r="C255" t="inlineStr">
        <is>
          <t>Deluxe ControlNet</t>
        </is>
      </c>
      <c r="D255" t="n">
        <v>7</v>
      </c>
      <c r="E255" t="n">
        <v>1750</v>
      </c>
      <c r="F255" t="n">
        <v>126000</v>
      </c>
      <c r="G255" t="n">
        <v>10</v>
      </c>
    </row>
    <row r="256">
      <c r="A256" t="inlineStr">
        <is>
          <t>Deluxe ControlNet|8</t>
        </is>
      </c>
      <c r="B256" t="inlineStr">
        <is>
          <t>ControlNet</t>
        </is>
      </c>
      <c r="C256" t="inlineStr">
        <is>
          <t>Deluxe ControlNet</t>
        </is>
      </c>
      <c r="D256" t="n">
        <v>8</v>
      </c>
      <c r="E256" t="n">
        <v>2000</v>
      </c>
      <c r="F256" t="n">
        <v>148000</v>
      </c>
      <c r="G256" t="n">
        <v>10</v>
      </c>
    </row>
    <row r="257">
      <c r="A257" t="inlineStr">
        <is>
          <t>Deluxe ControlNet|9</t>
        </is>
      </c>
      <c r="B257" t="inlineStr">
        <is>
          <t>ControlNet</t>
        </is>
      </c>
      <c r="C257" t="inlineStr">
        <is>
          <t>Deluxe ControlNet</t>
        </is>
      </c>
      <c r="D257" t="n">
        <v>9</v>
      </c>
      <c r="E257" t="n">
        <v>2250</v>
      </c>
      <c r="F257" t="n">
        <v>171000</v>
      </c>
      <c r="G257" t="n">
        <v>10</v>
      </c>
    </row>
    <row r="258">
      <c r="A258" t="inlineStr">
        <is>
          <t>Deluxe ControlNet|10</t>
        </is>
      </c>
      <c r="B258" t="inlineStr">
        <is>
          <t>ControlNet</t>
        </is>
      </c>
      <c r="C258" t="inlineStr">
        <is>
          <t>Deluxe ControlNet</t>
        </is>
      </c>
      <c r="D258" t="n">
        <v>10</v>
      </c>
      <c r="E258" t="n">
        <v>2500</v>
      </c>
      <c r="F258" t="n">
        <v>196000</v>
      </c>
      <c r="G258" t="n">
        <v>10</v>
      </c>
    </row>
    <row r="259">
      <c r="A259" t="inlineStr">
        <is>
          <t>ControlNet HQ|1</t>
        </is>
      </c>
      <c r="B259" t="inlineStr">
        <is>
          <t>ControlNet</t>
        </is>
      </c>
      <c r="C259" t="inlineStr">
        <is>
          <t>ControlNet HQ</t>
        </is>
      </c>
      <c r="D259" t="n">
        <v>1</v>
      </c>
      <c r="E259" t="n">
        <v>750</v>
      </c>
      <c r="F259" t="n">
        <v>20000</v>
      </c>
      <c r="G259" t="n">
        <v>10</v>
      </c>
    </row>
    <row r="260">
      <c r="A260" t="inlineStr">
        <is>
          <t>ControlNet HQ|2</t>
        </is>
      </c>
      <c r="B260" t="inlineStr">
        <is>
          <t>ControlNet</t>
        </is>
      </c>
      <c r="C260" t="inlineStr">
        <is>
          <t>ControlNet HQ</t>
        </is>
      </c>
      <c r="D260" t="n">
        <v>2</v>
      </c>
      <c r="E260" t="n">
        <v>1000</v>
      </c>
      <c r="F260" t="n">
        <v>45000</v>
      </c>
      <c r="G260" t="n">
        <v>10</v>
      </c>
    </row>
    <row r="261">
      <c r="A261" t="inlineStr">
        <is>
          <t>ControlNet HQ|3</t>
        </is>
      </c>
      <c r="B261" t="inlineStr">
        <is>
          <t>ControlNet</t>
        </is>
      </c>
      <c r="C261" t="inlineStr">
        <is>
          <t>ControlNet HQ</t>
        </is>
      </c>
      <c r="D261" t="n">
        <v>3</v>
      </c>
      <c r="E261" t="n">
        <v>1250</v>
      </c>
      <c r="F261" t="n">
        <v>75000</v>
      </c>
      <c r="G261" t="n">
        <v>10</v>
      </c>
    </row>
    <row r="262">
      <c r="A262" t="inlineStr">
        <is>
          <t>ControlNet HQ|4</t>
        </is>
      </c>
      <c r="B262" t="inlineStr">
        <is>
          <t>ControlNet</t>
        </is>
      </c>
      <c r="C262" t="inlineStr">
        <is>
          <t>ControlNet HQ</t>
        </is>
      </c>
      <c r="D262" t="n">
        <v>4</v>
      </c>
      <c r="E262" t="n">
        <v>1500</v>
      </c>
      <c r="F262" t="n">
        <v>110000</v>
      </c>
      <c r="G262" t="n">
        <v>10</v>
      </c>
    </row>
    <row r="263">
      <c r="A263" t="inlineStr">
        <is>
          <t>ControlNet HQ|5</t>
        </is>
      </c>
      <c r="B263" t="inlineStr">
        <is>
          <t>ControlNet</t>
        </is>
      </c>
      <c r="C263" t="inlineStr">
        <is>
          <t>ControlNet HQ</t>
        </is>
      </c>
      <c r="D263" t="n">
        <v>5</v>
      </c>
      <c r="E263" t="n">
        <v>1750</v>
      </c>
      <c r="F263" t="n">
        <v>150000</v>
      </c>
      <c r="G263" t="n">
        <v>10</v>
      </c>
    </row>
    <row r="264">
      <c r="A264" t="inlineStr">
        <is>
          <t>ControlNet HQ|6</t>
        </is>
      </c>
      <c r="B264" t="inlineStr">
        <is>
          <t>ControlNet</t>
        </is>
      </c>
      <c r="C264" t="inlineStr">
        <is>
          <t>ControlNet HQ</t>
        </is>
      </c>
      <c r="D264" t="n">
        <v>6</v>
      </c>
      <c r="E264" t="n">
        <v>2000</v>
      </c>
      <c r="F264" t="n">
        <v>195000</v>
      </c>
      <c r="G264" t="n">
        <v>10</v>
      </c>
    </row>
    <row r="265">
      <c r="A265" t="inlineStr">
        <is>
          <t>ControlNet HQ|7</t>
        </is>
      </c>
      <c r="B265" t="inlineStr">
        <is>
          <t>ControlNet</t>
        </is>
      </c>
      <c r="C265" t="inlineStr">
        <is>
          <t>ControlNet HQ</t>
        </is>
      </c>
      <c r="D265" t="n">
        <v>7</v>
      </c>
      <c r="E265" t="n">
        <v>2250</v>
      </c>
      <c r="F265" t="n">
        <v>245000</v>
      </c>
      <c r="G265" t="n">
        <v>10</v>
      </c>
    </row>
    <row r="266">
      <c r="A266" t="inlineStr">
        <is>
          <t>ControlNet HQ|8</t>
        </is>
      </c>
      <c r="B266" t="inlineStr">
        <is>
          <t>ControlNet</t>
        </is>
      </c>
      <c r="C266" t="inlineStr">
        <is>
          <t>ControlNet HQ</t>
        </is>
      </c>
      <c r="D266" t="n">
        <v>8</v>
      </c>
      <c r="E266" t="n">
        <v>2500</v>
      </c>
      <c r="F266" t="n">
        <v>300000</v>
      </c>
      <c r="G266" t="n">
        <v>10</v>
      </c>
    </row>
    <row r="267">
      <c r="A267" t="inlineStr">
        <is>
          <t>ControlNet HQ|9</t>
        </is>
      </c>
      <c r="B267" t="inlineStr">
        <is>
          <t>ControlNet</t>
        </is>
      </c>
      <c r="C267" t="inlineStr">
        <is>
          <t>ControlNet HQ</t>
        </is>
      </c>
      <c r="D267" t="n">
        <v>9</v>
      </c>
      <c r="E267" t="n">
        <v>2750</v>
      </c>
      <c r="F267" t="n">
        <v>360000</v>
      </c>
      <c r="G267" t="n">
        <v>10</v>
      </c>
    </row>
    <row r="268">
      <c r="A268" t="inlineStr">
        <is>
          <t>ControlNet HQ|10</t>
        </is>
      </c>
      <c r="B268" t="inlineStr">
        <is>
          <t>ControlNet</t>
        </is>
      </c>
      <c r="C268" t="inlineStr">
        <is>
          <t>ControlNet HQ</t>
        </is>
      </c>
      <c r="D268" t="n">
        <v>10</v>
      </c>
      <c r="E268" t="n">
        <v>3000</v>
      </c>
      <c r="F268" t="n">
        <v>425000</v>
      </c>
      <c r="G268" t="n">
        <v>10</v>
      </c>
    </row>
    <row r="269">
      <c r="A269" t="inlineStr">
        <is>
          <t>Small Drone Base|1</t>
        </is>
      </c>
      <c r="B269" t="inlineStr">
        <is>
          <t>Drones</t>
        </is>
      </c>
      <c r="C269" t="inlineStr">
        <is>
          <t>Small Drone Base</t>
        </is>
      </c>
      <c r="D269" t="n">
        <v>1</v>
      </c>
      <c r="E269" t="n">
        <v>20</v>
      </c>
      <c r="F269" t="n">
        <v>2000</v>
      </c>
      <c r="G269" t="n">
        <v>10</v>
      </c>
    </row>
    <row r="270">
      <c r="A270" t="inlineStr">
        <is>
          <t>Small Drone Base|2</t>
        </is>
      </c>
      <c r="B270" t="inlineStr">
        <is>
          <t>Drones</t>
        </is>
      </c>
      <c r="C270" t="inlineStr">
        <is>
          <t>Small Drone Base</t>
        </is>
      </c>
      <c r="D270" t="n">
        <v>2</v>
      </c>
      <c r="E270" t="n">
        <v>45</v>
      </c>
      <c r="F270" t="n">
        <v>4500</v>
      </c>
      <c r="G270" t="n">
        <v>10</v>
      </c>
    </row>
    <row r="271">
      <c r="A271" t="inlineStr">
        <is>
          <t>Small Drone Base|3</t>
        </is>
      </c>
      <c r="B271" t="inlineStr">
        <is>
          <t>Drones</t>
        </is>
      </c>
      <c r="C271" t="inlineStr">
        <is>
          <t>Small Drone Base</t>
        </is>
      </c>
      <c r="D271" t="n">
        <v>3</v>
      </c>
      <c r="E271" t="n">
        <v>70</v>
      </c>
      <c r="F271" t="n">
        <v>7500</v>
      </c>
      <c r="G271" t="n">
        <v>10</v>
      </c>
    </row>
    <row r="272">
      <c r="A272" t="inlineStr">
        <is>
          <t>Small Drone Base|4</t>
        </is>
      </c>
      <c r="B272" t="inlineStr">
        <is>
          <t>Drones</t>
        </is>
      </c>
      <c r="C272" t="inlineStr">
        <is>
          <t>Small Drone Base</t>
        </is>
      </c>
      <c r="D272" t="n">
        <v>4</v>
      </c>
      <c r="E272" t="n">
        <v>90</v>
      </c>
      <c r="F272" t="n">
        <v>11000</v>
      </c>
      <c r="G272" t="n">
        <v>10</v>
      </c>
    </row>
    <row r="273">
      <c r="A273" t="inlineStr">
        <is>
          <t>Small Drone Base|5</t>
        </is>
      </c>
      <c r="B273" t="inlineStr">
        <is>
          <t>Drones</t>
        </is>
      </c>
      <c r="C273" t="inlineStr">
        <is>
          <t>Small Drone Base</t>
        </is>
      </c>
      <c r="D273" t="n">
        <v>5</v>
      </c>
      <c r="E273" t="n">
        <v>110</v>
      </c>
      <c r="F273" t="n">
        <v>15000</v>
      </c>
      <c r="G273" t="n">
        <v>10</v>
      </c>
    </row>
    <row r="274">
      <c r="A274" t="inlineStr">
        <is>
          <t>Small Drone Base|6</t>
        </is>
      </c>
      <c r="B274" t="inlineStr">
        <is>
          <t>Drones</t>
        </is>
      </c>
      <c r="C274" t="inlineStr">
        <is>
          <t>Small Drone Base</t>
        </is>
      </c>
      <c r="D274" t="n">
        <v>6</v>
      </c>
      <c r="E274" t="n">
        <v>135</v>
      </c>
      <c r="F274" t="n">
        <v>19500</v>
      </c>
      <c r="G274" t="n">
        <v>10</v>
      </c>
    </row>
    <row r="275">
      <c r="A275" t="inlineStr">
        <is>
          <t>Small Drone Base|7</t>
        </is>
      </c>
      <c r="B275" t="inlineStr">
        <is>
          <t>Drones</t>
        </is>
      </c>
      <c r="C275" t="inlineStr">
        <is>
          <t>Small Drone Base</t>
        </is>
      </c>
      <c r="D275" t="n">
        <v>7</v>
      </c>
      <c r="E275" t="n">
        <v>160</v>
      </c>
      <c r="F275" t="n">
        <v>24500</v>
      </c>
      <c r="G275" t="n">
        <v>10</v>
      </c>
    </row>
    <row r="276">
      <c r="A276" t="inlineStr">
        <is>
          <t>Small Drone Base|8</t>
        </is>
      </c>
      <c r="B276" t="inlineStr">
        <is>
          <t>Drones</t>
        </is>
      </c>
      <c r="C276" t="inlineStr">
        <is>
          <t>Small Drone Base</t>
        </is>
      </c>
      <c r="D276" t="n">
        <v>8</v>
      </c>
      <c r="E276" t="n">
        <v>180</v>
      </c>
      <c r="F276" t="n">
        <v>30000</v>
      </c>
      <c r="G276" t="n">
        <v>10</v>
      </c>
    </row>
    <row r="277">
      <c r="A277" t="inlineStr">
        <is>
          <t>Small Drone Base|9</t>
        </is>
      </c>
      <c r="B277" t="inlineStr">
        <is>
          <t>Drones</t>
        </is>
      </c>
      <c r="C277" t="inlineStr">
        <is>
          <t>Small Drone Base</t>
        </is>
      </c>
      <c r="D277" t="n">
        <v>9</v>
      </c>
      <c r="E277" t="n">
        <v>200</v>
      </c>
      <c r="F277" t="n">
        <v>35750</v>
      </c>
      <c r="G277" t="n">
        <v>10</v>
      </c>
    </row>
    <row r="278">
      <c r="A278" t="inlineStr">
        <is>
          <t>Small Drone Base|10</t>
        </is>
      </c>
      <c r="B278" t="inlineStr">
        <is>
          <t>Drones</t>
        </is>
      </c>
      <c r="C278" t="inlineStr">
        <is>
          <t>Small Drone Base</t>
        </is>
      </c>
      <c r="D278" t="n">
        <v>10</v>
      </c>
      <c r="E278" t="n">
        <v>225</v>
      </c>
      <c r="F278" t="n">
        <v>41750</v>
      </c>
      <c r="G278" t="n">
        <v>10</v>
      </c>
    </row>
    <row r="279">
      <c r="A279" t="inlineStr">
        <is>
          <t>Basic Drone Base|1</t>
        </is>
      </c>
      <c r="B279" t="inlineStr">
        <is>
          <t>Drones</t>
        </is>
      </c>
      <c r="C279" t="inlineStr">
        <is>
          <t>Basic Drone Base</t>
        </is>
      </c>
      <c r="D279" t="n">
        <v>1</v>
      </c>
      <c r="E279" t="n">
        <v>45</v>
      </c>
      <c r="F279" t="n">
        <v>4000</v>
      </c>
      <c r="G279" t="n">
        <v>10</v>
      </c>
    </row>
    <row r="280">
      <c r="A280" t="inlineStr">
        <is>
          <t>Basic Drone Base|2</t>
        </is>
      </c>
      <c r="B280" t="inlineStr">
        <is>
          <t>Drones</t>
        </is>
      </c>
      <c r="C280" t="inlineStr">
        <is>
          <t>Basic Drone Base</t>
        </is>
      </c>
      <c r="D280" t="n">
        <v>2</v>
      </c>
      <c r="E280" t="n">
        <v>90</v>
      </c>
      <c r="F280" t="n">
        <v>9250</v>
      </c>
      <c r="G280" t="n">
        <v>10</v>
      </c>
    </row>
    <row r="281">
      <c r="A281" t="inlineStr">
        <is>
          <t>Basic Drone Base|3</t>
        </is>
      </c>
      <c r="B281" t="inlineStr">
        <is>
          <t>Drones</t>
        </is>
      </c>
      <c r="C281" t="inlineStr">
        <is>
          <t>Basic Drone Base</t>
        </is>
      </c>
      <c r="D281" t="n">
        <v>3</v>
      </c>
      <c r="E281" t="n">
        <v>135</v>
      </c>
      <c r="F281" t="n">
        <v>15750</v>
      </c>
      <c r="G281" t="n">
        <v>10</v>
      </c>
    </row>
    <row r="282">
      <c r="A282" t="inlineStr">
        <is>
          <t>Basic Drone Base|4</t>
        </is>
      </c>
      <c r="B282" t="inlineStr">
        <is>
          <t>Drones</t>
        </is>
      </c>
      <c r="C282" t="inlineStr">
        <is>
          <t>Basic Drone Base</t>
        </is>
      </c>
      <c r="D282" t="n">
        <v>4</v>
      </c>
      <c r="E282" t="n">
        <v>180</v>
      </c>
      <c r="F282" t="n">
        <v>23500</v>
      </c>
      <c r="G282" t="n">
        <v>10</v>
      </c>
    </row>
    <row r="283">
      <c r="A283" t="inlineStr">
        <is>
          <t>Basic Drone Base|5</t>
        </is>
      </c>
      <c r="B283" t="inlineStr">
        <is>
          <t>Drones</t>
        </is>
      </c>
      <c r="C283" t="inlineStr">
        <is>
          <t>Basic Drone Base</t>
        </is>
      </c>
      <c r="D283" t="n">
        <v>5</v>
      </c>
      <c r="E283" t="n">
        <v>225</v>
      </c>
      <c r="F283" t="n">
        <v>32500</v>
      </c>
      <c r="G283" t="n">
        <v>10</v>
      </c>
    </row>
    <row r="284">
      <c r="A284" t="inlineStr">
        <is>
          <t>Basic Drone Base|6</t>
        </is>
      </c>
      <c r="B284" t="inlineStr">
        <is>
          <t>Drones</t>
        </is>
      </c>
      <c r="C284" t="inlineStr">
        <is>
          <t>Basic Drone Base</t>
        </is>
      </c>
      <c r="D284" t="n">
        <v>6</v>
      </c>
      <c r="E284" t="n">
        <v>270</v>
      </c>
      <c r="F284" t="n">
        <v>42750</v>
      </c>
      <c r="G284" t="n">
        <v>10</v>
      </c>
    </row>
    <row r="285">
      <c r="A285" t="inlineStr">
        <is>
          <t>Basic Drone Base|7</t>
        </is>
      </c>
      <c r="B285" t="inlineStr">
        <is>
          <t>Drones</t>
        </is>
      </c>
      <c r="C285" t="inlineStr">
        <is>
          <t>Basic Drone Base</t>
        </is>
      </c>
      <c r="D285" t="n">
        <v>7</v>
      </c>
      <c r="E285" t="n">
        <v>315</v>
      </c>
      <c r="F285" t="n">
        <v>54250</v>
      </c>
      <c r="G285" t="n">
        <v>10</v>
      </c>
    </row>
    <row r="286">
      <c r="A286" t="inlineStr">
        <is>
          <t>Basic Drone Base|8</t>
        </is>
      </c>
      <c r="B286" t="inlineStr">
        <is>
          <t>Drones</t>
        </is>
      </c>
      <c r="C286" t="inlineStr">
        <is>
          <t>Basic Drone Base</t>
        </is>
      </c>
      <c r="D286" t="n">
        <v>8</v>
      </c>
      <c r="E286" t="n">
        <v>360</v>
      </c>
      <c r="F286" t="n">
        <v>67000</v>
      </c>
      <c r="G286" t="n">
        <v>10</v>
      </c>
    </row>
    <row r="287">
      <c r="A287" t="inlineStr">
        <is>
          <t>Basic Drone Base|9</t>
        </is>
      </c>
      <c r="B287" t="inlineStr">
        <is>
          <t>Drones</t>
        </is>
      </c>
      <c r="C287" t="inlineStr">
        <is>
          <t>Basic Drone Base</t>
        </is>
      </c>
      <c r="D287" t="n">
        <v>9</v>
      </c>
      <c r="E287" t="n">
        <v>405</v>
      </c>
      <c r="F287" t="n">
        <v>81000</v>
      </c>
      <c r="G287" t="n">
        <v>10</v>
      </c>
    </row>
    <row r="288">
      <c r="A288" t="inlineStr">
        <is>
          <t>Basic Drone Base|10</t>
        </is>
      </c>
      <c r="B288" t="inlineStr">
        <is>
          <t>Drones</t>
        </is>
      </c>
      <c r="C288" t="inlineStr">
        <is>
          <t>Basic Drone Base</t>
        </is>
      </c>
      <c r="D288" t="n">
        <v>10</v>
      </c>
      <c r="E288" t="n">
        <v>450</v>
      </c>
      <c r="F288" t="n">
        <v>96250</v>
      </c>
      <c r="G288" t="n">
        <v>10</v>
      </c>
    </row>
    <row r="289">
      <c r="A289" t="inlineStr">
        <is>
          <t>Deluxe Drone Base|1</t>
        </is>
      </c>
      <c r="B289" t="inlineStr">
        <is>
          <t>Drones</t>
        </is>
      </c>
      <c r="C289" t="inlineStr">
        <is>
          <t>Deluxe Drone Base</t>
        </is>
      </c>
      <c r="D289" t="n">
        <v>1</v>
      </c>
      <c r="E289" t="n">
        <v>90</v>
      </c>
      <c r="F289" t="n">
        <v>8000</v>
      </c>
      <c r="G289" t="n">
        <v>10</v>
      </c>
    </row>
    <row r="290">
      <c r="A290" t="inlineStr">
        <is>
          <t>Deluxe Drone Base|2</t>
        </is>
      </c>
      <c r="B290" t="inlineStr">
        <is>
          <t>Drones</t>
        </is>
      </c>
      <c r="C290" t="inlineStr">
        <is>
          <t>Deluxe Drone Base</t>
        </is>
      </c>
      <c r="D290" t="n">
        <v>2</v>
      </c>
      <c r="E290" t="n">
        <v>180</v>
      </c>
      <c r="F290" t="n">
        <v>17500</v>
      </c>
      <c r="G290" t="n">
        <v>10</v>
      </c>
    </row>
    <row r="291">
      <c r="A291" t="inlineStr">
        <is>
          <t>Deluxe Drone Base|3</t>
        </is>
      </c>
      <c r="B291" t="inlineStr">
        <is>
          <t>Drones</t>
        </is>
      </c>
      <c r="C291" t="inlineStr">
        <is>
          <t>Deluxe Drone Base</t>
        </is>
      </c>
      <c r="D291" t="n">
        <v>3</v>
      </c>
      <c r="E291" t="n">
        <v>270</v>
      </c>
      <c r="F291" t="n">
        <v>28500</v>
      </c>
      <c r="G291" t="n">
        <v>10</v>
      </c>
    </row>
    <row r="292">
      <c r="A292" t="inlineStr">
        <is>
          <t>Deluxe Drone Base|4</t>
        </is>
      </c>
      <c r="B292" t="inlineStr">
        <is>
          <t>Drones</t>
        </is>
      </c>
      <c r="C292" t="inlineStr">
        <is>
          <t>Deluxe Drone Base</t>
        </is>
      </c>
      <c r="D292" t="n">
        <v>4</v>
      </c>
      <c r="E292" t="n">
        <v>360</v>
      </c>
      <c r="F292" t="n">
        <v>41000</v>
      </c>
      <c r="G292" t="n">
        <v>10</v>
      </c>
    </row>
    <row r="293">
      <c r="A293" t="inlineStr">
        <is>
          <t>Deluxe Drone Base|5</t>
        </is>
      </c>
      <c r="B293" t="inlineStr">
        <is>
          <t>Drones</t>
        </is>
      </c>
      <c r="C293" t="inlineStr">
        <is>
          <t>Deluxe Drone Base</t>
        </is>
      </c>
      <c r="D293" t="n">
        <v>5</v>
      </c>
      <c r="E293" t="n">
        <v>450</v>
      </c>
      <c r="F293" t="n">
        <v>55000</v>
      </c>
      <c r="G293" t="n">
        <v>10</v>
      </c>
    </row>
    <row r="294">
      <c r="A294" t="inlineStr">
        <is>
          <t>Deluxe Drone Base|6</t>
        </is>
      </c>
      <c r="B294" t="inlineStr">
        <is>
          <t>Drones</t>
        </is>
      </c>
      <c r="C294" t="inlineStr">
        <is>
          <t>Deluxe Drone Base</t>
        </is>
      </c>
      <c r="D294" t="n">
        <v>6</v>
      </c>
      <c r="E294" t="n">
        <v>540</v>
      </c>
      <c r="F294" t="n">
        <v>70500</v>
      </c>
      <c r="G294" t="n">
        <v>10</v>
      </c>
    </row>
    <row r="295">
      <c r="A295" t="inlineStr">
        <is>
          <t>Deluxe Drone Base|7</t>
        </is>
      </c>
      <c r="B295" t="inlineStr">
        <is>
          <t>Drones</t>
        </is>
      </c>
      <c r="C295" t="inlineStr">
        <is>
          <t>Deluxe Drone Base</t>
        </is>
      </c>
      <c r="D295" t="n">
        <v>7</v>
      </c>
      <c r="E295" t="n">
        <v>630</v>
      </c>
      <c r="F295" t="n">
        <v>87500</v>
      </c>
      <c r="G295" t="n">
        <v>10</v>
      </c>
    </row>
    <row r="296">
      <c r="A296" t="inlineStr">
        <is>
          <t>Deluxe Drone Base|8</t>
        </is>
      </c>
      <c r="B296" t="inlineStr">
        <is>
          <t>Drones</t>
        </is>
      </c>
      <c r="C296" t="inlineStr">
        <is>
          <t>Deluxe Drone Base</t>
        </is>
      </c>
      <c r="D296" t="n">
        <v>8</v>
      </c>
      <c r="E296" t="n">
        <v>720</v>
      </c>
      <c r="F296" t="n">
        <v>106000</v>
      </c>
      <c r="G296" t="n">
        <v>10</v>
      </c>
    </row>
    <row r="297">
      <c r="A297" t="inlineStr">
        <is>
          <t>Deluxe Drone Base|9</t>
        </is>
      </c>
      <c r="B297" t="inlineStr">
        <is>
          <t>Drones</t>
        </is>
      </c>
      <c r="C297" t="inlineStr">
        <is>
          <t>Deluxe Drone Base</t>
        </is>
      </c>
      <c r="D297" t="n">
        <v>9</v>
      </c>
      <c r="E297" t="n">
        <v>810</v>
      </c>
      <c r="F297" t="n">
        <v>126000</v>
      </c>
      <c r="G297" t="n">
        <v>10</v>
      </c>
    </row>
    <row r="298">
      <c r="A298" t="inlineStr">
        <is>
          <t>Deluxe Drone Base|10</t>
        </is>
      </c>
      <c r="B298" t="inlineStr">
        <is>
          <t>Drones</t>
        </is>
      </c>
      <c r="C298" t="inlineStr">
        <is>
          <t>Deluxe Drone Base</t>
        </is>
      </c>
      <c r="D298" t="n">
        <v>10</v>
      </c>
      <c r="E298" t="n">
        <v>900</v>
      </c>
      <c r="F298" t="n">
        <v>147500</v>
      </c>
      <c r="G29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Services</t>
        </is>
      </c>
      <c r="B1" t="inlineStr">
        <is>
          <t>Utilities</t>
        </is>
      </c>
    </row>
    <row r="2">
      <c r="A2" t="inlineStr">
        <is>
          <t>Power</t>
        </is>
      </c>
      <c r="B2" t="inlineStr">
        <is>
          <t>Wind Power Plant</t>
        </is>
      </c>
    </row>
    <row r="3">
      <c r="A3" t="inlineStr">
        <is>
          <t>Water</t>
        </is>
      </c>
      <c r="B3" t="inlineStr">
        <is>
          <t>Coal Power Plant</t>
        </is>
      </c>
    </row>
    <row r="4">
      <c r="A4" t="inlineStr">
        <is>
          <t>Sewage</t>
        </is>
      </c>
      <c r="B4" t="inlineStr">
        <is>
          <t>Deluxe Wind Power Plant</t>
        </is>
      </c>
    </row>
    <row r="5">
      <c r="A5" t="inlineStr">
        <is>
          <t>Waste</t>
        </is>
      </c>
      <c r="B5" t="inlineStr">
        <is>
          <t>Solar Power Plant</t>
        </is>
      </c>
    </row>
    <row r="6">
      <c r="A6" t="inlineStr">
        <is>
          <t>Fire</t>
        </is>
      </c>
      <c r="B6" t="inlineStr">
        <is>
          <t>Oil Power Plant</t>
        </is>
      </c>
    </row>
    <row r="7">
      <c r="A7" t="inlineStr">
        <is>
          <t>Police</t>
        </is>
      </c>
      <c r="B7" t="inlineStr">
        <is>
          <t>Nuclear Power Plant</t>
        </is>
      </c>
    </row>
    <row r="8">
      <c r="A8" t="inlineStr">
        <is>
          <t>Health</t>
        </is>
      </c>
      <c r="B8" t="inlineStr">
        <is>
          <t>Fusion Power Plant</t>
        </is>
      </c>
    </row>
    <row r="9">
      <c r="A9" t="inlineStr">
        <is>
          <t>Regional Services</t>
        </is>
      </c>
      <c r="B9" t="inlineStr">
        <is>
          <t>Omega Power Plant</t>
        </is>
      </c>
    </row>
    <row r="10">
      <c r="A10" t="inlineStr">
        <is>
          <t>ControlNet</t>
        </is>
      </c>
      <c r="B10" t="inlineStr">
        <is>
          <t>Basic Water Tower</t>
        </is>
      </c>
    </row>
    <row r="11">
      <c r="A11" t="inlineStr">
        <is>
          <t>Drones</t>
        </is>
      </c>
      <c r="B11" t="inlineStr">
        <is>
          <t>Water Pumping Station</t>
        </is>
      </c>
    </row>
    <row r="12">
      <c r="B12" t="inlineStr">
        <is>
          <t>Saltwater Treatment Plant</t>
        </is>
      </c>
    </row>
    <row r="13">
      <c r="B13" t="inlineStr">
        <is>
          <t>Fresh Water Pumping Station</t>
        </is>
      </c>
    </row>
    <row r="14">
      <c r="B14" t="inlineStr">
        <is>
          <t>Omega Water Tower</t>
        </is>
      </c>
    </row>
    <row r="15">
      <c r="B15" t="inlineStr">
        <is>
          <t>Small Sewage Outflow Pipe</t>
        </is>
      </c>
    </row>
    <row r="16">
      <c r="B16" t="inlineStr">
        <is>
          <t>Basic Sewage Outflow Pipe</t>
        </is>
      </c>
    </row>
    <row r="17">
      <c r="B17" t="inlineStr">
        <is>
          <t>Deluxe Sewage Treatment Plant</t>
        </is>
      </c>
    </row>
    <row r="18">
      <c r="B18" t="inlineStr">
        <is>
          <t>Omega Sewage Treatment Plant</t>
        </is>
      </c>
    </row>
    <row r="19">
      <c r="B19" t="inlineStr">
        <is>
          <t>Small Garbage Dump</t>
        </is>
      </c>
    </row>
    <row r="20">
      <c r="B20" t="inlineStr">
        <is>
          <t>Garbage Dump</t>
        </is>
      </c>
    </row>
    <row r="21">
      <c r="B21" t="inlineStr">
        <is>
          <t>Garbage Incinerator</t>
        </is>
      </c>
    </row>
    <row r="22">
      <c r="B22" t="inlineStr">
        <is>
          <t>Recycling Center</t>
        </is>
      </c>
    </row>
    <row r="23">
      <c r="B23" t="inlineStr">
        <is>
          <t>Omega Recycling Center</t>
        </is>
      </c>
    </row>
    <row r="24">
      <c r="B24" t="inlineStr">
        <is>
          <t>Small Fire Station</t>
        </is>
      </c>
    </row>
    <row r="25">
      <c r="B25" t="inlineStr">
        <is>
          <t>Basic Fire Station</t>
        </is>
      </c>
    </row>
    <row r="26">
      <c r="B26" t="inlineStr">
        <is>
          <t>Deluxe Fire Station</t>
        </is>
      </c>
    </row>
    <row r="27">
      <c r="B27" t="inlineStr">
        <is>
          <t>Small Police Station</t>
        </is>
      </c>
    </row>
    <row r="28">
      <c r="B28" t="inlineStr">
        <is>
          <t>Basic Police Station</t>
        </is>
      </c>
    </row>
    <row r="29">
      <c r="B29" t="inlineStr">
        <is>
          <t>Police Precinct</t>
        </is>
      </c>
    </row>
    <row r="30">
      <c r="B30" t="inlineStr">
        <is>
          <t>Small Health Clinic</t>
        </is>
      </c>
    </row>
    <row r="31">
      <c r="B31" t="inlineStr">
        <is>
          <t>Health Clinic</t>
        </is>
      </c>
    </row>
    <row r="32">
      <c r="B32" t="inlineStr">
        <is>
          <t>Hospital</t>
        </is>
      </c>
    </row>
    <row r="33">
      <c r="B33" t="inlineStr">
        <is>
          <t>Small Regional Service</t>
        </is>
      </c>
    </row>
    <row r="34">
      <c r="B34" t="inlineStr">
        <is>
          <t>Medium Regional Service</t>
        </is>
      </c>
    </row>
    <row r="35">
      <c r="B35" t="inlineStr">
        <is>
          <t>Large Regional Service</t>
        </is>
      </c>
    </row>
    <row r="36">
      <c r="B36" t="inlineStr">
        <is>
          <t>Small ControlNet</t>
        </is>
      </c>
    </row>
    <row r="37">
      <c r="B37" t="inlineStr">
        <is>
          <t>Basic ControlNet</t>
        </is>
      </c>
    </row>
    <row r="38">
      <c r="B38" t="inlineStr">
        <is>
          <t>Deluxe ControlNet</t>
        </is>
      </c>
    </row>
    <row r="39">
      <c r="B39" t="inlineStr">
        <is>
          <t>ControlNet HQ</t>
        </is>
      </c>
    </row>
    <row r="40">
      <c r="B40" t="inlineStr">
        <is>
          <t>Small Drone Base</t>
        </is>
      </c>
    </row>
    <row r="41">
      <c r="B41" t="inlineStr">
        <is>
          <t>Basic Drone Base</t>
        </is>
      </c>
    </row>
    <row r="42">
      <c r="B42" t="inlineStr">
        <is>
          <t>Deluxe Drone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2026-02-03T11:25:37Z</dcterms:created>
  <dcterms:modified xmlns:dcterms="http://purl.org/dc/terms/" xmlns:xsi="http://www.w3.org/2001/XMLSchema-instance" xsi:type="dcterms:W3CDTF">2026-02-08T03:38:30Z</dcterms:modified>
  <cp:lastModifiedBy>Lu gypsy</cp:lastModifiedBy>
</cp:coreProperties>
</file>